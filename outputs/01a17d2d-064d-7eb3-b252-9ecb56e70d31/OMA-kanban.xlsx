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d477e09f5f47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адачи" sheetId="1" r:id="R58d3bb90af18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sz val="11"/>
      <x:color rgb="FF263646"/>
      <x:name val="Arial"/>
    </x:font>
    <x:font>
      <x:b/>
      <x:sz val="16"/>
      <x:color rgb="FF142A3C"/>
      <x:name val="Arial"/>
    </x:font>
    <x:font>
      <x:sz val="10"/>
      <x:color rgb="FF526273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18324A"/>
      </x:patternFill>
    </x:fill>
    <x:fill>
      <x:patternFill patternType="solid">
        <x:fgColor rgb="FFFFF8D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ill>
        <x:patternFill patternType="solid">
          <x:bgColor rgb="FFEEF1F5"/>
        </x:patternFill>
      </x:fill>
    </x:dxf>
    <x:dxf>
      <x:fill>
        <x:patternFill patternType="solid">
          <x:bgColor rgb="FFE8EFFB"/>
        </x:patternFill>
      </x:fill>
    </x:dxf>
    <x:dxf>
      <x:fill>
        <x:patternFill patternType="solid">
          <x:bgColor rgb="FFDCEAF8"/>
        </x:patternFill>
      </x:fill>
    </x:dxf>
    <x:dxf>
      <x:fill>
        <x:patternFill patternType="solid">
          <x:bgColor rgb="FFFFF0D1"/>
        </x:patternFill>
      </x:fill>
    </x:dxf>
    <x:dxf>
      <x:fill>
        <x:patternFill patternType="solid">
          <x:bgColor rgb="FFE0F1E5"/>
        </x:patternFill>
      </x:fill>
    </x:dxf>
    <x:dxf>
      <x:font>
        <x:color rgb="FF8F4D00"/>
      </x:font>
      <x:fill>
        <x:patternFill patternType="solid">
          <x:bgColor rgb="FFFFF0D1"/>
        </x:patternFill>
      </x:fill>
    </x:dxf>
    <x:dxf>
      <x:font>
        <x:b/>
        <x:color rgb="FF9D2E22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991bf6c9d4734" /><Relationship Type="http://schemas.openxmlformats.org/officeDocument/2006/relationships/theme" Target="/xl/theme/theme1.xml" Id="R910b3c3e6c9e480c" /><Relationship Type="http://schemas.openxmlformats.org/officeDocument/2006/relationships/sharedStrings" Target="/xl/sharedStrings.xml" Id="Rbcba70e93a3c4eec" /><Relationship Type="http://schemas.openxmlformats.org/officeDocument/2006/relationships/worksheet" Target="/xl/worksheets/sheet1.xml" Id="R58d3bb90af1842e1" /></Relationships>
</file>

<file path=xl/tables/table1.xml><?xml version="1.0" encoding="utf-8"?>
<x:table xmlns:x="http://schemas.openxmlformats.org/spreadsheetml/2006/main" id="1" name="OmaTasks" displayName="OmaTasks" ref="A8:O99" headerRowCount="1" totalsRowCount="0" totalsRowShown="0">
  <x:autoFilter ref="A8:O99"/>
  <x:tableColumns count="15">
    <x:tableColumn id="1" name="ID"/>
    <x:tableColumn id="2" name="Задача"/>
    <x:tableColumn id="3" name="Блок"/>
    <x:tableColumn id="4" name="Область"/>
    <x:tableColumn id="5" name="Роль"/>
    <x:tableColumn id="6" name="Исполнитель"/>
    <x:tableColumn id="7" name="Приоритет"/>
    <x:tableColumn id="8" name="Статус"/>
    <x:tableColumn id="9" name="Зависит от"/>
    <x:tableColumn id="10" name="Объём"/>
    <x:tableColumn id="11" name="Размер"/>
    <x:tableColumn id="12" name="Критерии готовности"/>
    <x:tableColumn id="13" name="Источник"/>
    <x:tableColumn id="14" name="Открытых блокеров"/>
    <x:tableColumn id="15" name="Следующее действи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b9b6c2e39c4648" /></Relationships>
</file>

<file path=xl/worksheets/sheet1.xml><?xml version="1.0" encoding="utf-8"?>
<x:worksheet xmlns:x="http://schemas.openxmlformats.org/spreadsheetml/2006/main">
  <x:sheetPr>
    <x:tabColor rgb="FF18324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12" hidden="0" customWidth="1"/>
    <x:col min="2" max="2" width="58" hidden="0" customWidth="1"/>
    <x:col min="3" max="3" width="28" hidden="0" customWidth="1"/>
    <x:col min="4" max="4" width="16" hidden="0" customWidth="1"/>
    <x:col min="5" max="5" width="20" hidden="0" customWidth="1"/>
    <x:col min="6" max="6" width="20" hidden="0" customWidth="1"/>
    <x:col min="7" max="7" width="12" hidden="0" customWidth="1"/>
    <x:col min="8" max="8" width="16" hidden="0" customWidth="1"/>
    <x:col min="9" max="9" width="31" hidden="0" customWidth="1"/>
    <x:col min="10" max="10" width="12" hidden="0" customWidth="1"/>
    <x:col min="11" max="11" width="10" hidden="0" customWidth="1"/>
    <x:col min="12" max="12" width="86" hidden="0" customWidth="1"/>
    <x:col min="13" max="13" width="40" hidden="0" customWidth="1"/>
    <x:col min="14" max="14" width="17" hidden="0" customWidth="1"/>
    <x:col min="15" max="15" width="23" hidden="0" customWidth="1"/>
  </x:cols>
  <x:sheetData>
    <x:row r="2">
      <x:c r="A2" s="6" t="str">
        <x:v>ОМА — задачи команды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7" t="str">
        <x:v>Статус и исполнитель — поля команды. Даты не назначены. Размер S/M предварительный.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7" t="str">
        <x:v>Источники: docs/OMA-product-spec.md и docs/technical-spec.md. Полные карточки: planning/kanban-backlog.md.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5" customHeight="1">
      <x:c r="A5" s="1" t="str">
        <x:v>Всего</x:v>
      </x:c>
      <x:c r="B5" s="1" t="n">
        <x:f>COUNTA(A9:A99)</x:f>
        <x:v>91</x:v>
      </x:c>
      <x:c r="C5" s="1"/>
      <x:c r="D5" s="1" t="str">
        <x:v>Ready</x:v>
      </x:c>
      <x:c r="E5" s="1" t="n">
        <x:f>COUNTIFS(H9:H99,"Ready")</x:f>
        <x:v>5</x:v>
      </x:c>
      <x:c r="F5" s="1"/>
      <x:c r="G5" s="1" t="str">
        <x:v>Done</x:v>
      </x:c>
      <x:c r="H5" s="1" t="n">
        <x:f>COUNTIFS(H9:H99,"Done")</x:f>
        <x:v>0</x:v>
      </x:c>
      <x:c r="I5" s="1"/>
      <x:c r="J5" s="1" t="str">
        <x:v>MVP</x:v>
      </x:c>
      <x:c r="K5" s="1" t="n">
        <x:f>COUNTIFS(J9:J99,"MVP")</x:f>
        <x:v>83</x:v>
      </x:c>
      <x:c r="L5" s="1"/>
      <x:c r="M5" s="1"/>
      <x:c r="N5" s="1"/>
      <x:c r="O5" s="1"/>
    </x:row>
    <x:row r="6">
      <x:c r="A6" s="7" t="str">
        <x:v>N–O: формулы по ID и статусам. После закрытия блокеров статус Ready выставляет команда.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34" customHeight="1">
      <x:c r="A8" s="12" t="str">
        <x:v>ID</x:v>
      </x:c>
      <x:c r="B8" s="12" t="str">
        <x:v>Задача</x:v>
      </x:c>
      <x:c r="C8" s="12" t="str">
        <x:v>Блок</x:v>
      </x:c>
      <x:c r="D8" s="12" t="str">
        <x:v>Область</x:v>
      </x:c>
      <x:c r="E8" s="12" t="str">
        <x:v>Роль</x:v>
      </x:c>
      <x:c r="F8" s="12" t="str">
        <x:v>Исполнитель</x:v>
      </x:c>
      <x:c r="G8" s="12" t="str">
        <x:v>Приоритет</x:v>
      </x:c>
      <x:c r="H8" s="12" t="str">
        <x:v>Статус</x:v>
      </x:c>
      <x:c r="I8" s="12" t="str">
        <x:v>Зависит от</x:v>
      </x:c>
      <x:c r="J8" s="12" t="str">
        <x:v>Объём</x:v>
      </x:c>
      <x:c r="K8" s="12" t="str">
        <x:v>Размер</x:v>
      </x:c>
      <x:c r="L8" s="12" t="str">
        <x:v>Критерии готовности</x:v>
      </x:c>
      <x:c r="M8" s="12" t="str">
        <x:v>Источник</x:v>
      </x:c>
      <x:c r="N8" s="12" t="str">
        <x:v>Открытых блокеров</x:v>
      </x:c>
      <x:c r="O8" s="12" t="str">
        <x:v>Следующее действие</x:v>
      </x:c>
    </x:row>
    <x:row r="9" ht="52" customHeight="1">
      <x:c r="A9" s="4" t="str">
        <x:v>F01</x:v>
      </x:c>
      <x:c r="B9" s="4" t="str">
        <x:v>Создать каркас Go-приложения и доменные модули</x:v>
      </x:c>
      <x:c r="C9" s="4" t="str">
        <x:v>01 Основа и контракты</x:v>
      </x:c>
      <x:c r="D9" s="4" t="str">
        <x:v>Backend</x:v>
      </x:c>
      <x:c r="E9" s="4" t="str">
        <x:v>Backend Go</x:v>
      </x:c>
      <x:c r="F9" s="13" t="str"/>
      <x:c r="G9" s="4" t="str">
        <x:v>High</x:v>
      </x:c>
      <x:c r="H9" s="4" t="str">
        <x:v>Ready</x:v>
      </x:c>
      <x:c r="I9" s="4" t="str">
        <x:v>—</x:v>
      </x:c>
      <x:c r="J9" s="4" t="str">
        <x:v>MVP</x:v>
      </x:c>
      <x:c r="K9" s="4" t="str">
        <x:v>M</x:v>
      </x:c>
      <x:c r="L9" s="4" t="str">
        <x:v>• Приложения собираются и запускают HTTP-серверы.
• Модули имеют явные границы; бизнес-логика не находится в обработчиках.
• Описан минимальный запуск без реального API ОМА.</x:v>
      </x:c>
      <x:c r="M9" s="4" t="str">
        <x:v>docs/technical-spec.md #architecture</x:v>
      </x:c>
      <x:c r="N9" s="14" t="n">
        <x:f>0</x:f>
        <x:v>0</x:v>
      </x:c>
      <x:c r="O9" s="4" t="str">
        <x:f>IF(H9="Done","Завершено",IF(N9&gt;0,"Есть блокеры",IF(H9="In Progress","В работе",IF(H9="Review","Нужна проверка",IF(J9="Next","После MVP",IF(F9="","Назначить","Можно брать"))))))</x:f>
        <x:v>Назначить</x:v>
      </x:c>
    </x:row>
    <x:row r="10" ht="52" customHeight="1">
      <x:c r="A10" s="5" t="str">
        <x:v>F02</x:v>
      </x:c>
      <x:c r="B10" s="5" t="str">
        <x:v>Зафиксировать OpenAPI и общие DTO основных сценариев</x:v>
      </x:c>
      <x:c r="C10" s="5" t="str">
        <x:v>01 Основа и контракты</x:v>
      </x:c>
      <x:c r="D10" s="5" t="str">
        <x:v>Backend</x:v>
      </x:c>
      <x:c r="E10" s="5" t="str">
        <x:v>Tech Lead</x:v>
      </x:c>
      <x:c r="F10" s="13" t="str"/>
      <x:c r="G10" s="5" t="str">
        <x:v>High</x:v>
      </x:c>
      <x:c r="H10" s="5" t="str">
        <x:v>Ready</x:v>
      </x:c>
      <x:c r="I10" s="5" t="str">
        <x:v>—</x:v>
      </x:c>
      <x:c r="J10" s="5" t="str">
        <x:v>MVP</x:v>
      </x:c>
      <x:c r="K10" s="5" t="str">
        <x:v>M</x:v>
      </x:c>
      <x:c r="L10" s="5" t="str">
        <x:v>• Контракт включает Собери, Прораба и Mock OMA.
• Есть примеры запросов и ошибок без вымышленных реализаций.
• Frontend и backend могут работать по одному контракту.</x:v>
      </x:c>
      <x:c r="M10" s="5" t="str">
        <x:v>docs/technical-spec.md #architecture</x:v>
      </x:c>
      <x:c r="N10" s="15" t="n">
        <x:f>0</x:f>
        <x:v>0</x:v>
      </x:c>
      <x:c r="O10" s="5" t="str">
        <x:f>IF(H10="Done","Завершено",IF(N10&gt;0,"Есть блокеры",IF(H10="In Progress","В работе",IF(H10="Review","Нужна проверка",IF(J10="Next","После MVP",IF(F10="","Назначить","Можно брать"))))))</x:f>
        <x:v>Назначить</x:v>
      </x:c>
    </x:row>
    <x:row r="11" ht="52" customHeight="1">
      <x:c r="A11" s="4" t="str">
        <x:v>F03</x:v>
      </x:c>
      <x:c r="B11" s="4" t="str">
        <x:v>Подготовить локальное окружение PostgreSQL и миграции</x:v>
      </x:c>
      <x:c r="C11" s="4" t="str">
        <x:v>01 Основа и контракты</x:v>
      </x:c>
      <x:c r="D11" s="4" t="str">
        <x:v>DevOps</x:v>
      </x:c>
      <x:c r="E11" s="4" t="str">
        <x:v>DevOps</x:v>
      </x:c>
      <x:c r="F11" s="13" t="str"/>
      <x:c r="G11" s="4" t="str">
        <x:v>High</x:v>
      </x:c>
      <x:c r="H11" s="4" t="str">
        <x:v>Ready</x:v>
      </x:c>
      <x:c r="I11" s="4" t="str">
        <x:v>—</x:v>
      </x:c>
      <x:c r="J11" s="4" t="str">
        <x:v>MVP</x:v>
      </x:c>
      <x:c r="K11" s="4" t="str">
        <x:v>M</x:v>
      </x:c>
      <x:c r="L11" s="4" t="str">
        <x:v>• Чистое окружение запускается по инструкции.
• Миграции применяются повторяемо; настройки не содержат секретов.
• Предусмотрен сброс только демонстрационных данных.</x:v>
      </x:c>
      <x:c r="M11" s="4" t="str">
        <x:v>docs/technical-spec.md #architecture</x:v>
      </x:c>
      <x:c r="N11" s="14" t="n">
        <x:f>0</x:f>
        <x:v>0</x:v>
      </x:c>
      <x:c r="O11" s="4" t="str">
        <x:f>IF(H11="Done","Завершено",IF(N11&gt;0,"Есть блокеры",IF(H11="In Progress","В работе",IF(H11="Review","Нужна проверка",IF(J11="Next","После MVP",IF(F11="","Назначить","Можно брать"))))))</x:f>
        <x:v>Назначить</x:v>
      </x:c>
    </x:row>
    <x:row r="12" ht="52" customHeight="1">
      <x:c r="A12" s="5" t="str">
        <x:v>F04</x:v>
      </x:c>
      <x:c r="B12" s="5" t="str">
        <x:v>Подготовить макеты полного пути и общий UI-набор</x:v>
      </x:c>
      <x:c r="C12" s="5" t="str">
        <x:v>01 Основа и контракты</x:v>
      </x:c>
      <x:c r="D12" s="5" t="str">
        <x:v>Design</x:v>
      </x:c>
      <x:c r="E12" s="5" t="str">
        <x:v>Product/UX</x:v>
      </x:c>
      <x:c r="F12" s="13" t="str"/>
      <x:c r="G12" s="5" t="str">
        <x:v>High</x:v>
      </x:c>
      <x:c r="H12" s="5" t="str">
        <x:v>Ready</x:v>
      </x:c>
      <x:c r="I12" s="5" t="str">
        <x:v>—</x:v>
      </x:c>
      <x:c r="J12" s="5" t="str">
        <x:v>MVP</x:v>
      </x:c>
      <x:c r="K12" s="5" t="str">
        <x:v>M</x:v>
      </x:c>
      <x:c r="L12" s="5" t="str">
        <x:v>• Показан один связный путь через оба сервиса.
• Есть макеты загрузки, пустого состояния, ошибки и замечаний.
• Понятны переходы на телефон, в корзину и обратно в проект.</x:v>
      </x:c>
      <x:c r="M12" s="5" t="str">
        <x:v>docs/technical-spec.md #architecture</x:v>
      </x:c>
      <x:c r="N12" s="15" t="n">
        <x:f>0</x:f>
        <x:v>0</x:v>
      </x:c>
      <x:c r="O12" s="5" t="str">
        <x:f>IF(H12="Done","Завершено",IF(N12&gt;0,"Есть блокеры",IF(H12="In Progress","В работе",IF(H12="Review","Нужна проверка",IF(J12="Next","После MVP",IF(F12="","Назначить","Можно брать"))))))</x:f>
        <x:v>Назначить</x:v>
      </x:c>
    </x:row>
    <x:row r="13" ht="52" customHeight="1">
      <x:c r="A13" s="4" t="str">
        <x:v>V01</x:v>
      </x:c>
      <x:c r="B13" s="4" t="str">
        <x:v>Проверить AR-устройство и выбрать путь захвата помещений</x:v>
      </x:c>
      <x:c r="C13" s="4" t="str">
        <x:v>06 Визуализация и AR</x:v>
      </x:c>
      <x:c r="D13" s="4" t="str">
        <x:v>3D/AR</x:v>
      </x:c>
      <x:c r="E13" s="4" t="str">
        <x:v>3D/AR</x:v>
      </x:c>
      <x:c r="F13" s="13" t="str"/>
      <x:c r="G13" s="4" t="str">
        <x:v>High</x:v>
      </x:c>
      <x:c r="H13" s="4" t="str">
        <x:v>Ready</x:v>
      </x:c>
      <x:c r="I13" s="4" t="str">
        <x:v>—</x:v>
      </x:c>
      <x:c r="J13" s="4" t="str">
        <x:v>MVP</x:v>
      </x:c>
      <x:c r="K13" s="4" t="str">
        <x:v>S</x:v>
      </x:c>
      <x:c r="L13" s="4" t="str">
        <x:v>• Есть проверяемый результат на конкретном устройстве.
• Описаны поддерживаемые режимы и ограничения.
• Выбран способ показа без обязательной разработки native-приложения.</x:v>
      </x:c>
      <x:c r="M13" s="4" t="str">
        <x:v>docs/technical-spec.md #visual</x:v>
      </x:c>
      <x:c r="N13" s="14" t="n">
        <x:f>0</x:f>
        <x:v>0</x:v>
      </x:c>
      <x:c r="O13" s="4" t="str">
        <x:f>IF(H13="Done","Завершено",IF(N13&gt;0,"Есть блокеры",IF(H13="In Progress","В работе",IF(H13="Review","Нужна проверка",IF(J13="Next","После MVP",IF(F13="","Назначить","Можно брать"))))))</x:f>
        <x:v>Назначить</x:v>
      </x:c>
    </x:row>
    <x:row r="14" ht="52" customHeight="1">
      <x:c r="A14" s="5" t="str">
        <x:v>F05</x:v>
      </x:c>
      <x:c r="B14" s="5" t="str">
        <x:v>Настроить CI для Go и проверок контрактов</x:v>
      </x:c>
      <x:c r="C14" s="5" t="str">
        <x:v>01 Основа и контракты</x:v>
      </x:c>
      <x:c r="D14" s="5" t="str">
        <x:v>DevOps</x:v>
      </x:c>
      <x:c r="E14" s="5" t="str">
        <x:v>DevOps</x:v>
      </x:c>
      <x:c r="F14" s="13" t="str"/>
      <x:c r="G14" s="5" t="str">
        <x:v>Medium</x:v>
      </x:c>
      <x:c r="H14" s="5" t="str">
        <x:v>Backlog</x:v>
      </x:c>
      <x:c r="I14" s="5" t="str">
        <x:v>F01, F02</x:v>
      </x:c>
      <x:c r="J14" s="5" t="str">
        <x:v>MVP</x:v>
      </x:c>
      <x:c r="K14" s="5" t="str">
        <x:v>S</x:v>
      </x:c>
      <x:c r="L14" s="5" t="str">
        <x:v>• Проверки запускаются на изменениях и PR.
• Ошибка проверки видна в CI и не маскируется успехом.
• Настройки не требуют секретов production.</x:v>
      </x:c>
      <x:c r="M14" s="5" t="str">
        <x:v>docs/technical-spec.md #architecture</x:v>
      </x:c>
      <x:c r="N14" s="15" t="n">
        <x:f>2-COUNTIFS($A$9:$A$99,"F01",$H$9:$H$99,"Done")-COUNTIFS($A$9:$A$99,"F02",$H$9:$H$99,"Done")</x:f>
        <x:v>2</x:v>
      </x:c>
      <x:c r="O14" s="5" t="str">
        <x:f>IF(H14="Done","Завершено",IF(N14&gt;0,"Есть блокеры",IF(H14="In Progress","В работе",IF(H14="Review","Нужна проверка",IF(J14="Next","После MVP",IF(F14="","Назначить","Можно брать"))))))</x:f>
        <x:v>Есть блокеры</x:v>
      </x:c>
    </x:row>
    <x:row r="15" ht="52" customHeight="1">
      <x:c r="A15" s="4" t="str">
        <x:v>F06</x:v>
      </x:c>
      <x:c r="B15" s="4" t="str">
        <x:v>Реализовать общие типы денег единиц версий и ошибок</x:v>
      </x:c>
      <x:c r="C15" s="4" t="str">
        <x:v>01 Основа и контракты</x:v>
      </x:c>
      <x:c r="D15" s="4" t="str">
        <x:v>Backend</x:v>
      </x:c>
      <x:c r="E15" s="4" t="str">
        <x:v>Backend Go</x:v>
      </x:c>
      <x:c r="F15" s="13" t="str"/>
      <x:c r="G15" s="4" t="str">
        <x:v>High</x:v>
      </x:c>
      <x:c r="H15" s="4" t="str">
        <x:v>Backlog</x:v>
      </x:c>
      <x:c r="I15" s="4" t="str">
        <x:v>F01, F02</x:v>
      </x:c>
      <x:c r="J15" s="4" t="str">
        <x:v>MVP</x:v>
      </x:c>
      <x:c r="K15" s="4" t="str">
        <x:v>M</x:v>
      </x:c>
      <x:c r="L15" s="4" t="str">
        <x:v>• Нет float-расчёта денежных итогов.
• Устаревшая версия возвращает VERSION_CONFLICT.
• Сериализация и граничные значения покрыты тестами.</x:v>
      </x:c>
      <x:c r="M15" s="4" t="str">
        <x:v>docs/technical-spec.md #architecture</x:v>
      </x:c>
      <x:c r="N15" s="14" t="n">
        <x:f>2-COUNTIFS($A$9:$A$99,"F01",$H$9:$H$99,"Done")-COUNTIFS($A$9:$A$99,"F02",$H$9:$H$99,"Done")</x:f>
        <x:v>2</x:v>
      </x:c>
      <x:c r="O15" s="4" t="str">
        <x:f>IF(H15="Done","Завершено",IF(N15&gt;0,"Есть блокеры",IF(H15="In Progress","В работе",IF(H15="Review","Нужна проверка",IF(J15="Next","После MVP",IF(F15="","Назначить","Можно брать"))))))</x:f>
        <x:v>Есть блокеры</x:v>
      </x:c>
    </x:row>
    <x:row r="16" ht="52" customHeight="1">
      <x:c r="A16" s="5" t="str">
        <x:v>F07</x:v>
      </x:c>
      <x:c r="B16" s="5" t="str">
        <x:v>Реализовать сессии демо-роли и серверные проверки доступа</x:v>
      </x:c>
      <x:c r="C16" s="5" t="str">
        <x:v>01 Основа и контракты</x:v>
      </x:c>
      <x:c r="D16" s="5" t="str">
        <x:v>Backend</x:v>
      </x:c>
      <x:c r="E16" s="5" t="str">
        <x:v>Backend Go</x:v>
      </x:c>
      <x:c r="F16" s="13" t="str"/>
      <x:c r="G16" s="5" t="str">
        <x:v>High</x:v>
      </x:c>
      <x:c r="H16" s="5" t="str">
        <x:v>Backlog</x:v>
      </x:c>
      <x:c r="I16" s="5" t="str">
        <x:v>F03, F06</x:v>
      </x:c>
      <x:c r="J16" s="5" t="str">
        <x:v>MVP</x:v>
      </x:c>
      <x:c r="K16" s="5" t="str">
        <x:v>M</x:v>
      </x:c>
      <x:c r="L16" s="5" t="str">
        <x:v>• Закрытые операции проверяют роль на сервере.
• Чужие идентификаторы не открывают чужой проект.
• В обычном режиме демо-вход отключён.</x:v>
      </x:c>
      <x:c r="M16" s="5" t="str">
        <x:v>docs/technical-spec.md #architecture</x:v>
      </x:c>
      <x:c r="N16" s="15" t="n">
        <x:f>2-COUNTIFS($A$9:$A$99,"F03",$H$9:$H$99,"Done")-COUNTIFS($A$9:$A$99,"F06",$H$9:$H$99,"Done")</x:f>
        <x:v>2</x:v>
      </x:c>
      <x:c r="O16" s="5" t="str">
        <x:f>IF(H16="Done","Завершено",IF(N16&gt;0,"Есть блокеры",IF(H16="In Progress","В работе",IF(H16="Review","Нужна проверка",IF(J16="Next","После MVP",IF(F16="","Назначить","Можно брать"))))))</x:f>
        <x:v>Есть блокеры</x:v>
      </x:c>
    </x:row>
    <x:row r="17" ht="52" customHeight="1">
      <x:c r="A17" s="4" t="str">
        <x:v>F08</x:v>
      </x:c>
      <x:c r="B17" s="4" t="str">
        <x:v>Реализовать очередь заданий и транзакционный журнал событий</x:v>
      </x:c>
      <x:c r="C17" s="4" t="str">
        <x:v>01 Основа и контракты</x:v>
      </x:c>
      <x:c r="D17" s="4" t="str">
        <x:v>Backend</x:v>
      </x:c>
      <x:c r="E17" s="4" t="str">
        <x:v>Backend Go</x:v>
      </x:c>
      <x:c r="F17" s="13" t="str"/>
      <x:c r="G17" s="4" t="str">
        <x:v>High</x:v>
      </x:c>
      <x:c r="H17" s="4" t="str">
        <x:v>Backlog</x:v>
      </x:c>
      <x:c r="I17" s="4" t="str">
        <x:v>F03, F06</x:v>
      </x:c>
      <x:c r="J17" s="4" t="str">
        <x:v>MVP</x:v>
      </x:c>
      <x:c r="K17" s="4" t="str">
        <x:v>M</x:v>
      </x:c>
      <x:c r="L17" s="4" t="str">
        <x:v>• Задание не теряется при перезапуске процесса.
• Состояния queued/running/succeeded/failed доступны через API.
• Повтор обработки не дублирует доменный эффект.</x:v>
      </x:c>
      <x:c r="M17" s="4" t="str">
        <x:v>docs/technical-spec.md #architecture</x:v>
      </x:c>
      <x:c r="N17" s="14" t="n">
        <x:f>2-COUNTIFS($A$9:$A$99,"F03",$H$9:$H$99,"Done")-COUNTIFS($A$9:$A$99,"F06",$H$9:$H$99,"Done")</x:f>
        <x:v>2</x:v>
      </x:c>
      <x:c r="O17" s="4" t="str">
        <x:f>IF(H17="Done","Завершено",IF(N17&gt;0,"Есть блокеры",IF(H17="In Progress","В работе",IF(H17="Review","Нужна проверка",IF(J17="Next","После MVP",IF(F17="","Назначить","Можно брать"))))))</x:f>
        <x:v>Есть блокеры</x:v>
      </x:c>
    </x:row>
    <x:row r="18" ht="52" customHeight="1">
      <x:c r="A18" s="5" t="str">
        <x:v>F09</x:v>
      </x:c>
      <x:c r="B18" s="5" t="str">
        <x:v>Добавить диагностику конфигурации и состояния серверов</x:v>
      </x:c>
      <x:c r="C18" s="5" t="str">
        <x:v>01 Основа и контракты</x:v>
      </x:c>
      <x:c r="D18" s="5" t="str">
        <x:v>Backend</x:v>
      </x:c>
      <x:c r="E18" s="5" t="str">
        <x:v>Backend Go</x:v>
      </x:c>
      <x:c r="F18" s="13" t="str"/>
      <x:c r="G18" s="5" t="str">
        <x:v>Medium</x:v>
      </x:c>
      <x:c r="H18" s="5" t="str">
        <x:v>Backlog</x:v>
      </x:c>
      <x:c r="I18" s="5" t="str">
        <x:v>F01, F06</x:v>
      </x:c>
      <x:c r="J18" s="5" t="str">
        <x:v>MVP</x:v>
      </x:c>
      <x:c r="K18" s="5" t="str">
        <x:v>S</x:v>
      </x:c>
      <x:c r="L18" s="5" t="str">
        <x:v>• Диагностика не раскрывает секреты.
• Ошибки интеграций имеют понятный код и корреляцию.
• Сервер корректно прекращает принимать новые запросы при остановке.</x:v>
      </x:c>
      <x:c r="M18" s="5" t="str">
        <x:v>docs/technical-spec.md #architecture</x:v>
      </x:c>
      <x:c r="N18" s="15" t="n">
        <x:f>2-COUNTIFS($A$9:$A$99,"F01",$H$9:$H$99,"Done")-COUNTIFS($A$9:$A$99,"F06",$H$9:$H$99,"Done")</x:f>
        <x:v>2</x:v>
      </x:c>
      <x:c r="O18" s="5" t="str">
        <x:f>IF(H18="Done","Завершено",IF(N18&gt;0,"Есть блокеры",IF(H18="In Progress","В работе",IF(H18="Review","Нужна проверка",IF(J18="Next","После MVP",IF(F18="","Назначить","Можно брать"))))))</x:f>
        <x:v>Есть блокеры</x:v>
      </x:c>
    </x:row>
    <x:row r="19" ht="52" customHeight="1">
      <x:c r="A19" s="4" t="str">
        <x:v>M01</x:v>
      </x:c>
      <x:c r="B19" s="4" t="str">
        <x:v>Создать каталог Mock OMA с поиском и параметрами товаров</x:v>
      </x:c>
      <x:c r="C19" s="4" t="str">
        <x:v>03 Магазин Mock OMA</x:v>
      </x:c>
      <x:c r="D19" s="4" t="str">
        <x:v>Backend</x:v>
      </x:c>
      <x:c r="E19" s="4" t="str">
        <x:v>Backend Go</x:v>
      </x:c>
      <x:c r="F19" s="13" t="str"/>
      <x:c r="G19" s="4" t="str">
        <x:v>High</x:v>
      </x:c>
      <x:c r="H19" s="4" t="str">
        <x:v>Backlog</x:v>
      </x:c>
      <x:c r="I19" s="4" t="str">
        <x:v>F02, F03, F06</x:v>
      </x:c>
      <x:c r="J19" s="4" t="str">
        <x:v>MVP</x:v>
      </x:c>
      <x:c r="K19" s="4" t="str">
        <x:v>M</x:v>
      </x:c>
      <x:c r="L19" s="4" t="str">
        <x:v>• У каждого товара есть стабильный SKU и признак demo.
• Поиск и фильтры возвращают согласованный результат.
• Доступность и параметры поступают из API, а не из AI.</x:v>
      </x:c>
      <x:c r="M19" s="4" t="str">
        <x:v>docs/technical-spec.md #api</x:v>
      </x:c>
      <x:c r="N19" s="14" t="n">
        <x:f>3-COUNTIFS($A$9:$A$99,"F02",$H$9:$H$99,"Done")-COUNTIFS($A$9:$A$99,"F03",$H$9:$H$99,"Done")-COUNTIFS($A$9:$A$99,"F06",$H$9:$H$99,"Done")</x:f>
        <x:v>3</x:v>
      </x:c>
      <x:c r="O19" s="4" t="str">
        <x:f>IF(H19="Done","Завершено",IF(N19&gt;0,"Есть блокеры",IF(H19="In Progress","В работе",IF(H19="Review","Нужна проверка",IF(J19="Next","После MVP",IF(F19="","Назначить","Можно брать"))))))</x:f>
        <x:v>Есть блокеры</x:v>
      </x:c>
    </x:row>
    <x:row r="20" ht="52" customHeight="1">
      <x:c r="A20" s="5" t="str">
        <x:v>M08</x:v>
      </x:c>
      <x:c r="B20" s="5" t="str">
        <x:v>Реализовать заменяемый HTTP-адаптер OmaClient</x:v>
      </x:c>
      <x:c r="C20" s="5" t="str">
        <x:v>03 Магазин Mock OMA</x:v>
      </x:c>
      <x:c r="D20" s="5" t="str">
        <x:v>Backend</x:v>
      </x:c>
      <x:c r="E20" s="5" t="str">
        <x:v>Backend Go</x:v>
      </x:c>
      <x:c r="F20" s="13" t="str"/>
      <x:c r="G20" s="5" t="str">
        <x:v>High</x:v>
      </x:c>
      <x:c r="H20" s="5" t="str">
        <x:v>Backlog</x:v>
      </x:c>
      <x:c r="I20" s="5" t="str">
        <x:v>F02, F06</x:v>
      </x:c>
      <x:c r="J20" s="5" t="str">
        <x:v>MVP</x:v>
      </x:c>
      <x:c r="K20" s="5" t="str">
        <x:v>M</x:v>
      </x:c>
      <x:c r="L20" s="5" t="str">
        <x:v>• Доменные модули не читают базу магазина напрямую.
• Адрес и сервисный доступ задаются конфигурацией.
• Ошибка магазина переводится в предсказуемую ошибку продукта.</x:v>
      </x:c>
      <x:c r="M20" s="5" t="str">
        <x:v>docs/technical-spec.md #api</x:v>
      </x:c>
      <x:c r="N20" s="15" t="n">
        <x:f>2-COUNTIFS($A$9:$A$99,"F02",$H$9:$H$99,"Done")-COUNTIFS($A$9:$A$99,"F06",$H$9:$H$99,"Done")</x:f>
        <x:v>2</x:v>
      </x:c>
      <x:c r="O20" s="5" t="str">
        <x:f>IF(H20="Done","Завершено",IF(N20&gt;0,"Есть блокеры",IF(H20="In Progress","В работе",IF(H20="Review","Нужна проверка",IF(J20="Next","После MVP",IF(F20="","Назначить","Можно брать"))))))</x:f>
        <x:v>Есть блокеры</x:v>
      </x:c>
    </x:row>
    <x:row r="21" ht="52" customHeight="1">
      <x:c r="A21" s="4" t="str">
        <x:v>A01</x:v>
      </x:c>
      <x:c r="B21" s="4" t="str">
        <x:v>Подключить AIProvider с проверкой структуры и demo/live</x:v>
      </x:c>
      <x:c r="C21" s="4" t="str">
        <x:v>05 Собери и AI</x:v>
      </x:c>
      <x:c r="D21" s="4" t="str">
        <x:v>AI</x:v>
      </x:c>
      <x:c r="E21" s="4" t="str">
        <x:v>AI/Backend</x:v>
      </x:c>
      <x:c r="F21" s="13" t="str"/>
      <x:c r="G21" s="4" t="str">
        <x:v>High</x:v>
      </x:c>
      <x:c r="H21" s="4" t="str">
        <x:v>Backlog</x:v>
      </x:c>
      <x:c r="I21" s="4" t="str">
        <x:v>F08, F02</x:v>
      </x:c>
      <x:c r="J21" s="4" t="str">
        <x:v>MVP</x:v>
      </x:c>
      <x:c r="K21" s="4" t="str">
        <x:v>M</x:v>
      </x:c>
      <x:c r="L21" s="4" t="str">
        <x:v>• Секрет провайдера не попадает в браузер.
• Демо-ответы явно отмечены.
• Неуспех задачи не уничтожает подтверждённый проект.</x:v>
      </x:c>
      <x:c r="M21" s="4" t="str">
        <x:v>docs/technical-spec.md #visual</x:v>
      </x:c>
      <x:c r="N21" s="14" t="n">
        <x:f>2-COUNTIFS($A$9:$A$99,"F08",$H$9:$H$99,"Done")-COUNTIFS($A$9:$A$99,"F02",$H$9:$H$99,"Done")</x:f>
        <x:v>2</x:v>
      </x:c>
      <x:c r="O21" s="4" t="str">
        <x:f>IF(H21="Done","Завершено",IF(N21&gt;0,"Есть блокеры",IF(H21="In Progress","В работе",IF(H21="Review","Нужна проверка",IF(J21="Next","После MVP",IF(F21="","Назначить","Можно брать"))))))</x:f>
        <x:v>Есть блокеры</x:v>
      </x:c>
    </x:row>
    <x:row r="22" ht="52" customHeight="1">
      <x:c r="A22" s="5" t="str">
        <x:v>M02</x:v>
      </x:c>
      <x:c r="B22" s="5" t="str">
        <x:v>Сделать интерфейс магазина поиск фильтры и карточку товара</x:v>
      </x:c>
      <x:c r="C22" s="5" t="str">
        <x:v>03 Магазин Mock OMA</x:v>
      </x:c>
      <x:c r="D22" s="5" t="str">
        <x:v>Frontend</x:v>
      </x:c>
      <x:c r="E22" s="5" t="str">
        <x:v>Frontend</x:v>
      </x:c>
      <x:c r="F22" s="13" t="str"/>
      <x:c r="G22" s="5" t="str">
        <x:v>High</x:v>
      </x:c>
      <x:c r="H22" s="5" t="str">
        <x:v>Backlog</x:v>
      </x:c>
      <x:c r="I22" s="5" t="str">
        <x:v>M01, F04</x:v>
      </x:c>
      <x:c r="J22" s="5" t="str">
        <x:v>MVP</x:v>
      </x:c>
      <x:c r="K22" s="5" t="str">
        <x:v>M</x:v>
      </x:c>
      <x:c r="L22" s="5" t="str">
        <x:v>• Пользователь находит и открывает товар.
• Из товара можно перейти к связанному проекту.
• Загрузка и отсутствие результатов обработаны.</x:v>
      </x:c>
      <x:c r="M22" s="5" t="str">
        <x:v>docs/technical-spec.md #api</x:v>
      </x:c>
      <x:c r="N22" s="15" t="n">
        <x:f>2-COUNTIFS($A$9:$A$99,"M01",$H$9:$H$99,"Done")-COUNTIFS($A$9:$A$99,"F04",$H$9:$H$99,"Done")</x:f>
        <x:v>2</x:v>
      </x:c>
      <x:c r="O22" s="5" t="str">
        <x:f>IF(H22="Done","Завершено",IF(N22&gt;0,"Есть блокеры",IF(H22="In Progress","В работе",IF(H22="Review","Нужна проверка",IF(J22="Next","После MVP",IF(F22="","Назначить","Можно брать"))))))</x:f>
        <x:v>Есть блокеры</x:v>
      </x:c>
    </x:row>
    <x:row r="23" ht="52" customHeight="1">
      <x:c r="A23" s="4" t="str">
        <x:v>M03</x:v>
      </x:c>
      <x:c r="B23" s="4" t="str">
        <x:v>Реализовать торговую корзину с версиями и серверными итогами</x:v>
      </x:c>
      <x:c r="C23" s="4" t="str">
        <x:v>03 Магазин Mock OMA</x:v>
      </x:c>
      <x:c r="D23" s="4" t="str">
        <x:v>Backend</x:v>
      </x:c>
      <x:c r="E23" s="4" t="str">
        <x:v>Backend Go</x:v>
      </x:c>
      <x:c r="F23" s="13" t="str"/>
      <x:c r="G23" s="4" t="str">
        <x:v>High</x:v>
      </x:c>
      <x:c r="H23" s="4" t="str">
        <x:v>Backlog</x:v>
      </x:c>
      <x:c r="I23" s="4" t="str">
        <x:v>M01, F06</x:v>
      </x:c>
      <x:c r="J23" s="4" t="str">
        <x:v>MVP</x:v>
      </x:c>
      <x:c r="K23" s="4" t="str">
        <x:v>M</x:v>
      </x:c>
      <x:c r="L23" s="4" t="str">
        <x:v>• Итог пересчитывается сервером.
• Устаревшая версия не перезаписывает новые изменения.
• Проектные и посторонние строки различаются.</x:v>
      </x:c>
      <x:c r="M23" s="4" t="str">
        <x:v>docs/technical-spec.md #api</x:v>
      </x:c>
      <x:c r="N23" s="14" t="n">
        <x:f>2-COUNTIFS($A$9:$A$99,"M01",$H$9:$H$99,"Done")-COUNTIFS($A$9:$A$99,"F06",$H$9:$H$99,"Done")</x:f>
        <x:v>2</x:v>
      </x:c>
      <x:c r="O23" s="4" t="str">
        <x:f>IF(H23="Done","Завершено",IF(N23&gt;0,"Есть блокеры",IF(H23="In Progress","В работе",IF(H23="Review","Нужна проверка",IF(J23="Next","После MVP",IF(F23="","Назначить","Можно брать"))))))</x:f>
        <x:v>Есть блокеры</x:v>
      </x:c>
    </x:row>
    <x:row r="24" ht="52" customHeight="1">
      <x:c r="A24" s="5" t="str">
        <x:v>M07</x:v>
      </x:c>
      <x:c r="B24" s="5" t="str">
        <x:v>Добавить API истории покупок торгового пользователя</x:v>
      </x:c>
      <x:c r="C24" s="5" t="str">
        <x:v>03 Магазин Mock OMA</x:v>
      </x:c>
      <x:c r="D24" s="5" t="str">
        <x:v>Backend</x:v>
      </x:c>
      <x:c r="E24" s="5" t="str">
        <x:v>Backend Go</x:v>
      </x:c>
      <x:c r="F24" s="13" t="str"/>
      <x:c r="G24" s="5" t="str">
        <x:v>Medium</x:v>
      </x:c>
      <x:c r="H24" s="5" t="str">
        <x:v>Backlog</x:v>
      </x:c>
      <x:c r="I24" s="5" t="str">
        <x:v>M01, F07</x:v>
      </x:c>
      <x:c r="J24" s="5" t="str">
        <x:v>MVP</x:v>
      </x:c>
      <x:c r="K24" s="5" t="str">
        <x:v>S</x:v>
      </x:c>
      <x:c r="L24" s="5" t="str">
        <x:v>• Чужая история недоступна.
• Есть модель, дата и купленное количество.
• Покупка не создаёт подтверждённый склад пользователя.</x:v>
      </x:c>
      <x:c r="M24" s="5" t="str">
        <x:v>docs/technical-spec.md #api</x:v>
      </x:c>
      <x:c r="N24" s="15" t="n">
        <x:f>2-COUNTIFS($A$9:$A$99,"M01",$H$9:$H$99,"Done")-COUNTIFS($A$9:$A$99,"F07",$H$9:$H$99,"Done")</x:f>
        <x:v>2</x:v>
      </x:c>
      <x:c r="O24" s="5" t="str">
        <x:f>IF(H24="Done","Завершено",IF(N24&gt;0,"Есть блокеры",IF(H24="In Progress","В работе",IF(H24="Review","Нужна проверка",IF(J24="Next","После MVP",IF(F24="","Назначить","Можно брать"))))))</x:f>
        <x:v>Есть блокеры</x:v>
      </x:c>
    </x:row>
    <x:row r="25" ht="52" customHeight="1">
      <x:c r="A25" s="4" t="str">
        <x:v>P01</x:v>
      </x:c>
      <x:c r="B25" s="4" t="str">
        <x:v>Создать API проектов и участников</x:v>
      </x:c>
      <x:c r="C25" s="4" t="str">
        <x:v>02 Проект и помещения</x:v>
      </x:c>
      <x:c r="D25" s="4" t="str">
        <x:v>Backend</x:v>
      </x:c>
      <x:c r="E25" s="4" t="str">
        <x:v>Backend Go</x:v>
      </x:c>
      <x:c r="F25" s="13" t="str"/>
      <x:c r="G25" s="4" t="str">
        <x:v>High</x:v>
      </x:c>
      <x:c r="H25" s="4" t="str">
        <x:v>Backlog</x:v>
      </x:c>
      <x:c r="I25" s="4" t="str">
        <x:v>F03, F07</x:v>
      </x:c>
      <x:c r="J25" s="4" t="str">
        <x:v>MVP</x:v>
      </x:c>
      <x:c r="K25" s="4" t="str">
        <x:v>M</x:v>
      </x:c>
      <x:c r="L25" s="4" t="str">
        <x:v>• Проект имеет стабильный ID для обоих сервисов.
• Изменение проверяет владельца и версию.
• В списке пользователь видит только разрешённые проекты.</x:v>
      </x:c>
      <x:c r="M25" s="4" t="str">
        <x:v>docs/technical-spec.md #data</x:v>
      </x:c>
      <x:c r="N25" s="14" t="n">
        <x:f>2-COUNTIFS($A$9:$A$99,"F03",$H$9:$H$99,"Done")-COUNTIFS($A$9:$A$99,"F07",$H$9:$H$99,"Done")</x:f>
        <x:v>2</x:v>
      </x:c>
      <x:c r="O25" s="4" t="str">
        <x:f>IF(H25="Done","Завершено",IF(N25&gt;0,"Есть блокеры",IF(H25="In Progress","В работе",IF(H25="Review","Нужна проверка",IF(J25="Next","После MVP",IF(F25="","Назначить","Можно брать"))))))</x:f>
        <x:v>Есть блокеры</x:v>
      </x:c>
    </x:row>
    <x:row r="26" ht="52" customHeight="1">
      <x:c r="A26" s="5" t="str">
        <x:v>R01</x:v>
      </x:c>
      <x:c r="B26" s="5" t="str">
        <x:v>Создать профили прорабов команд и подтверждённого опыта</x:v>
      </x:c>
      <x:c r="C26" s="5" t="str">
        <x:v>08 Прораб до покупки</x:v>
      </x:c>
      <x:c r="D26" s="5" t="str">
        <x:v>Backend</x:v>
      </x:c>
      <x:c r="E26" s="5" t="str">
        <x:v>Backend Go</x:v>
      </x:c>
      <x:c r="F26" s="13" t="str"/>
      <x:c r="G26" s="5" t="str">
        <x:v>High</x:v>
      </x:c>
      <x:c r="H26" s="5" t="str">
        <x:v>Backlog</x:v>
      </x:c>
      <x:c r="I26" s="5" t="str">
        <x:v>F03, F07</x:v>
      </x:c>
      <x:c r="J26" s="5" t="str">
        <x:v>MVP</x:v>
      </x:c>
      <x:c r="K26" s="5" t="str">
        <x:v>M</x:v>
      </x:c>
      <x:c r="L26" s="5" t="str">
        <x:v>• У каждой работы есть участники и тип подтверждения.
• Рейтинг не зависит от суммы покупок.
• Публичный профиль не раскрывает приватные данные проекта.</x:v>
      </x:c>
      <x:c r="M26" s="5" t="str">
        <x:v>docs/technical-spec.md #checkout</x:v>
      </x:c>
      <x:c r="N26" s="15" t="n">
        <x:f>2-COUNTIFS($A$9:$A$99,"F03",$H$9:$H$99,"Done")-COUNTIFS($A$9:$A$99,"F07",$H$9:$H$99,"Done")</x:f>
        <x:v>2</x:v>
      </x:c>
      <x:c r="O26" s="5" t="str">
        <x:f>IF(H26="Done","Завершено",IF(N26&gt;0,"Есть блокеры",IF(H26="In Progress","В работе",IF(H26="Review","Нужна проверка",IF(J26="Next","После MVP",IF(F26="","Назначить","Можно брать"))))))</x:f>
        <x:v>Есть блокеры</x:v>
      </x:c>
    </x:row>
    <x:row r="27" ht="52" customHeight="1">
      <x:c r="A27" s="4" t="str">
        <x:v>A02</x:v>
      </x:c>
      <x:c r="B27" s="4" t="str">
        <x:v>Собирать бриф предпочтения и закреплённые ограничения</x:v>
      </x:c>
      <x:c r="C27" s="4" t="str">
        <x:v>05 Собери и AI</x:v>
      </x:c>
      <x:c r="D27" s="4" t="str">
        <x:v>AI</x:v>
      </x:c>
      <x:c r="E27" s="4" t="str">
        <x:v>AI/Backend</x:v>
      </x:c>
      <x:c r="F27" s="13" t="str"/>
      <x:c r="G27" s="4" t="str">
        <x:v>High</x:v>
      </x:c>
      <x:c r="H27" s="4" t="str">
        <x:v>Backlog</x:v>
      </x:c>
      <x:c r="I27" s="4" t="str">
        <x:v>P01, A01</x:v>
      </x:c>
      <x:c r="J27" s="4" t="str">
        <x:v>MVP</x:v>
      </x:c>
      <x:c r="K27" s="4" t="str">
        <x:v>M</x:v>
      </x:c>
      <x:c r="L27" s="4" t="str">
        <x:v>• Клиент может исправить бриф.
• Ограничения доступны следующей генерации.
• AI не подменяет отсутствие размеров выдуманными данными.</x:v>
      </x:c>
      <x:c r="M27" s="4" t="str">
        <x:v>docs/technical-spec.md #visual</x:v>
      </x:c>
      <x:c r="N27" s="14" t="n">
        <x:f>2-COUNTIFS($A$9:$A$99,"P01",$H$9:$H$99,"Done")-COUNTIFS($A$9:$A$99,"A01",$H$9:$H$99,"Done")</x:f>
        <x:v>2</x:v>
      </x:c>
      <x:c r="O27" s="4" t="str">
        <x:f>IF(H27="Done","Завершено",IF(N27&gt;0,"Есть блокеры",IF(H27="In Progress","В работе",IF(H27="Review","Нужна проверка",IF(J27="Next","После MVP",IF(F27="","Назначить","Можно брать"))))))</x:f>
        <x:v>Есть блокеры</x:v>
      </x:c>
    </x:row>
    <x:row r="28" ht="52" customHeight="1">
      <x:c r="A28" s="5" t="str">
        <x:v>I01</x:v>
      </x:c>
      <x:c r="B28" s="5" t="str">
        <x:v>Реализовать подтверждённые партии материалов пользователя</x:v>
      </x:c>
      <x:c r="C28" s="5" t="str">
        <x:v>04 Материалы и BOM</x:v>
      </x:c>
      <x:c r="D28" s="5" t="str">
        <x:v>Backend</x:v>
      </x:c>
      <x:c r="E28" s="5" t="str">
        <x:v>Backend Go</x:v>
      </x:c>
      <x:c r="F28" s="13" t="str"/>
      <x:c r="G28" s="5" t="str">
        <x:v>High</x:v>
      </x:c>
      <x:c r="H28" s="5" t="str">
        <x:v>Backlog</x:v>
      </x:c>
      <x:c r="I28" s="5" t="str">
        <x:v>P01, F06</x:v>
      </x:c>
      <x:c r="J28" s="5" t="str">
        <x:v>MVP</x:v>
      </x:c>
      <x:c r="K28" s="5" t="str">
        <x:v>M</x:v>
      </x:c>
      <x:c r="L28" s="5" t="str">
        <x:v>• Только подтверждённый объём участвует в покупке.
• Недостающие свойства помечаются вопросами.
• Партия принадлежит конкретному владельцу.</x:v>
      </x:c>
      <x:c r="M28" s="5" t="str">
        <x:v>docs/technical-spec.md #data</x:v>
      </x:c>
      <x:c r="N28" s="15" t="n">
        <x:f>2-COUNTIFS($A$9:$A$99,"P01",$H$9:$H$99,"Done")-COUNTIFS($A$9:$A$99,"F06",$H$9:$H$99,"Done")</x:f>
        <x:v>2</x:v>
      </x:c>
      <x:c r="O28" s="5" t="str">
        <x:f>IF(H28="Done","Завершено",IF(N28&gt;0,"Есть блокеры",IF(H28="In Progress","В работе",IF(H28="Review","Нужна проверка",IF(J28="Next","После MVP",IF(F28="","Назначить","Можно брать"))))))</x:f>
        <x:v>Есть блокеры</x:v>
      </x:c>
    </x:row>
    <x:row r="29" ht="52" customHeight="1">
      <x:c r="A29" s="4" t="str">
        <x:v>M04</x:v>
      </x:c>
      <x:c r="B29" s="4" t="str">
        <x:v>Создавать неизменяемую котировку корзины</x:v>
      </x:c>
      <x:c r="C29" s="4" t="str">
        <x:v>03 Магазин Mock OMA</x:v>
      </x:c>
      <x:c r="D29" s="4" t="str">
        <x:v>Backend</x:v>
      </x:c>
      <x:c r="E29" s="4" t="str">
        <x:v>Backend Go</x:v>
      </x:c>
      <x:c r="F29" s="13" t="str"/>
      <x:c r="G29" s="4" t="str">
        <x:v>High</x:v>
      </x:c>
      <x:c r="H29" s="4" t="str">
        <x:v>Backlog</x:v>
      </x:c>
      <x:c r="I29" s="4" t="str">
        <x:v>M03</x:v>
      </x:c>
      <x:c r="J29" s="4" t="str">
        <x:v>MVP</x:v>
      </x:c>
      <x:c r="K29" s="4" t="str">
        <x:v>M</x:v>
      </x:c>
      <x:c r="L29" s="4" t="str">
        <x:v>• Изменение корзины не меняет старую котировку.
• Истёкшая котировка не разрешает новую оплату.
• Клиент видит сумму и необходимость подтверждения.</x:v>
      </x:c>
      <x:c r="M29" s="4" t="str">
        <x:v>docs/technical-spec.md #api</x:v>
      </x:c>
      <x:c r="N29" s="14" t="n">
        <x:f>1-COUNTIFS($A$9:$A$99,"M03",$H$9:$H$99,"Done")</x:f>
        <x:v>1</x:v>
      </x:c>
      <x:c r="O29" s="4" t="str">
        <x:f>IF(H29="Done","Завершено",IF(N29&gt;0,"Есть блокеры",IF(H29="In Progress","В работе",IF(H29="Review","Нужна проверка",IF(J29="Next","После MVP",IF(F29="","Назначить","Можно брать"))))))</x:f>
        <x:v>Есть блокеры</x:v>
      </x:c>
    </x:row>
    <x:row r="30" ht="52" customHeight="1">
      <x:c r="A30" s="5" t="str">
        <x:v>P02</x:v>
      </x:c>
      <x:c r="B30" s="5" t="str">
        <x:v>Добавить несколько помещений и подтверждение размеров</x:v>
      </x:c>
      <x:c r="C30" s="5" t="str">
        <x:v>02 Проект и помещения</x:v>
      </x:c>
      <x:c r="D30" s="5" t="str">
        <x:v>Backend</x:v>
      </x:c>
      <x:c r="E30" s="5" t="str">
        <x:v>Backend Go</x:v>
      </x:c>
      <x:c r="F30" s="13" t="str"/>
      <x:c r="G30" s="5" t="str">
        <x:v>High</x:v>
      </x:c>
      <x:c r="H30" s="5" t="str">
        <x:v>Backlog</x:v>
      </x:c>
      <x:c r="I30" s="5" t="str">
        <x:v>P01, F06</x:v>
      </x:c>
      <x:c r="J30" s="5" t="str">
        <x:v>MVP</x:v>
      </x:c>
      <x:c r="K30" s="5" t="str">
        <x:v>M</x:v>
      </x:c>
      <x:c r="L30" s="5" t="str">
        <x:v>• В одном проекте сохраняются минимум два помещения.
• Источник и подтверждение размеров видны и редактируются.
• Некорректные размеры отклоняются; неизвестные не считаются точными.</x:v>
      </x:c>
      <x:c r="M30" s="5" t="str">
        <x:v>docs/technical-spec.md #data</x:v>
      </x:c>
      <x:c r="N30" s="15" t="n">
        <x:f>2-COUNTIFS($A$9:$A$99,"P01",$H$9:$H$99,"Done")-COUNTIFS($A$9:$A$99,"F06",$H$9:$H$99,"Done")</x:f>
        <x:v>2</x:v>
      </x:c>
      <x:c r="O30" s="5" t="str">
        <x:f>IF(H30="Done","Завершено",IF(N30&gt;0,"Есть блокеры",IF(H30="In Progress","В работе",IF(H30="Review","Нужна проверка",IF(J30="Next","После MVP",IF(F30="","Назначить","Можно брать"))))))</x:f>
        <x:v>Есть блокеры</x:v>
      </x:c>
    </x:row>
    <x:row r="31" ht="52" customHeight="1">
      <x:c r="A31" s="4" t="str">
        <x:v>P03</x:v>
      </x:c>
      <x:c r="B31" s="4" t="str">
        <x:v>Реализовать приватную загрузку фото планов и отчётных файлов</x:v>
      </x:c>
      <x:c r="C31" s="4" t="str">
        <x:v>02 Проект и помещения</x:v>
      </x:c>
      <x:c r="D31" s="4" t="str">
        <x:v>Backend</x:v>
      </x:c>
      <x:c r="E31" s="4" t="str">
        <x:v>Backend Go</x:v>
      </x:c>
      <x:c r="F31" s="13" t="str"/>
      <x:c r="G31" s="4" t="str">
        <x:v>High</x:v>
      </x:c>
      <x:c r="H31" s="4" t="str">
        <x:v>Backlog</x:v>
      </x:c>
      <x:c r="I31" s="4" t="str">
        <x:v>P01, F07</x:v>
      </x:c>
      <x:c r="J31" s="4" t="str">
        <x:v>MVP</x:v>
      </x:c>
      <x:c r="K31" s="4" t="str">
        <x:v>M</x:v>
      </x:c>
      <x:c r="L31" s="4" t="str">
        <x:v>• Разрешённый файл сохраняется и открывается участнику.
• Чужое фото нельзя получить по известному ID.
• Неподдерживаемый файл возвращает понятную ошибку.</x:v>
      </x:c>
      <x:c r="M31" s="4" t="str">
        <x:v>docs/technical-spec.md #data</x:v>
      </x:c>
      <x:c r="N31" s="14" t="n">
        <x:f>2-COUNTIFS($A$9:$A$99,"P01",$H$9:$H$99,"Done")-COUNTIFS($A$9:$A$99,"F07",$H$9:$H$99,"Done")</x:f>
        <x:v>2</x:v>
      </x:c>
      <x:c r="O31" s="4" t="str">
        <x:f>IF(H31="Done","Завершено",IF(N31&gt;0,"Есть блокеры",IF(H31="In Progress","В работе",IF(H31="Review","Нужна проверка",IF(J31="Next","После MVP",IF(F31="","Назначить","Можно брать"))))))</x:f>
        <x:v>Есть блокеры</x:v>
      </x:c>
    </x:row>
    <x:row r="32" ht="52" customHeight="1">
      <x:c r="A32" s="5" t="str">
        <x:v>R02</x:v>
      </x:c>
      <x:c r="B32" s="5" t="str">
        <x:v>Сделать подбор карточки прорабов и портфолио мастеров</x:v>
      </x:c>
      <x:c r="C32" s="5" t="str">
        <x:v>08 Прораб до покупки</x:v>
      </x:c>
      <x:c r="D32" s="5" t="str">
        <x:v>Frontend</x:v>
      </x:c>
      <x:c r="E32" s="5" t="str">
        <x:v>Frontend</x:v>
      </x:c>
      <x:c r="F32" s="13" t="str"/>
      <x:c r="G32" s="5" t="str">
        <x:v>High</x:v>
      </x:c>
      <x:c r="H32" s="5" t="str">
        <x:v>Backlog</x:v>
      </x:c>
      <x:c r="I32" s="5" t="str">
        <x:v>R01, F04</x:v>
      </x:c>
      <x:c r="J32" s="5" t="str">
        <x:v>MVP</x:v>
      </x:c>
      <x:c r="K32" s="5" t="str">
        <x:v>M</x:v>
      </x:c>
      <x:c r="L32" s="5" t="str">
        <x:v>• Клиент может оценить похожий опыт.
• Доступность требует подтверждения и не выдумывается.
• Демонстрационные профили обозначены.</x:v>
      </x:c>
      <x:c r="M32" s="5" t="str">
        <x:v>docs/technical-spec.md #checkout</x:v>
      </x:c>
      <x:c r="N32" s="15" t="n">
        <x:f>2-COUNTIFS($A$9:$A$99,"R01",$H$9:$H$99,"Done")-COUNTIFS($A$9:$A$99,"F04",$H$9:$H$99,"Done")</x:f>
        <x:v>2</x:v>
      </x:c>
      <x:c r="O32" s="5" t="str">
        <x:f>IF(H32="Done","Завершено",IF(N32&gt;0,"Есть блокеры",IF(H32="In Progress","В работе",IF(H32="Review","Нужна проверка",IF(J32="Next","После MVP",IF(F32="","Назначить","Можно брать"))))))</x:f>
        <x:v>Есть блокеры</x:v>
      </x:c>
    </x:row>
    <x:row r="33" ht="52" customHeight="1">
      <x:c r="A33" s="4" t="str">
        <x:v>R03</x:v>
      </x:c>
      <x:c r="B33" s="4" t="str">
        <x:v>Выбирать исполнителя и режим выполнения для проекта</x:v>
      </x:c>
      <x:c r="C33" s="4" t="str">
        <x:v>08 Прораб до покупки</x:v>
      </x:c>
      <x:c r="D33" s="4" t="str">
        <x:v>Backend</x:v>
      </x:c>
      <x:c r="E33" s="4" t="str">
        <x:v>Backend Go</x:v>
      </x:c>
      <x:c r="F33" s="13" t="str"/>
      <x:c r="G33" s="4" t="str">
        <x:v>High</x:v>
      </x:c>
      <x:c r="H33" s="4" t="str">
        <x:v>Backlog</x:v>
      </x:c>
      <x:c r="I33" s="4" t="str">
        <x:v>R01, P01</x:v>
      </x:c>
      <x:c r="J33" s="4" t="str">
        <x:v>MVP</x:v>
      </x:c>
      <x:c r="K33" s="4" t="str">
        <x:v>M</x:v>
      </x:c>
      <x:c r="L33" s="4" t="str">
        <x:v>• Выбор кандидата ещё не означает найм.
• Оба режима доступны из проекта и корзины.
• Смена кандидата не переносит чужое подтверждение.</x:v>
      </x:c>
      <x:c r="M33" s="4" t="str">
        <x:v>docs/technical-spec.md #checkout</x:v>
      </x:c>
      <x:c r="N33" s="14" t="n">
        <x:f>2-COUNTIFS($A$9:$A$99,"R01",$H$9:$H$99,"Done")-COUNTIFS($A$9:$A$99,"P01",$H$9:$H$99,"Done")</x:f>
        <x:v>2</x:v>
      </x:c>
      <x:c r="O33" s="4" t="str">
        <x:f>IF(H33="Done","Завершено",IF(N33&gt;0,"Есть блокеры",IF(H33="In Progress","В работе",IF(H33="Review","Нужна проверка",IF(J33="Next","После MVP",IF(F33="","Назначить","Можно брать"))))))</x:f>
        <x:v>Есть блокеры</x:v>
      </x:c>
    </x:row>
    <x:row r="34" ht="52" customHeight="1">
      <x:c r="A34" s="5" t="str">
        <x:v>A03</x:v>
      </x:c>
      <x:c r="B34" s="5" t="str">
        <x:v>Генерировать варианты из разрешённого каталога</x:v>
      </x:c>
      <x:c r="C34" s="5" t="str">
        <x:v>05 Собери и AI</x:v>
      </x:c>
      <x:c r="D34" s="5" t="str">
        <x:v>AI</x:v>
      </x:c>
      <x:c r="E34" s="5" t="str">
        <x:v>AI/Backend</x:v>
      </x:c>
      <x:c r="F34" s="13" t="str"/>
      <x:c r="G34" s="5" t="str">
        <x:v>High</x:v>
      </x:c>
      <x:c r="H34" s="5" t="str">
        <x:v>Backlog</x:v>
      </x:c>
      <x:c r="I34" s="5" t="str">
        <x:v>A02, M08, P02</x:v>
      </x:c>
      <x:c r="J34" s="5" t="str">
        <x:v>MVP</x:v>
      </x:c>
      <x:c r="K34" s="5" t="str">
        <x:v>M</x:v>
      </x:c>
      <x:c r="L34" s="5" t="str">
        <x:v>• В варианте нет неизвестных артикулов.
• Показаны сохранённое, новое и вопросы.
• Выход за закреплённые условия требует уточнения.</x:v>
      </x:c>
      <x:c r="M34" s="5" t="str">
        <x:v>docs/technical-spec.md #visual</x:v>
      </x:c>
      <x:c r="N34" s="15" t="n">
        <x:f>3-COUNTIFS($A$9:$A$99,"A02",$H$9:$H$99,"Done")-COUNTIFS($A$9:$A$99,"M08",$H$9:$H$99,"Done")-COUNTIFS($A$9:$A$99,"P02",$H$9:$H$99,"Done")</x:f>
        <x:v>3</x:v>
      </x:c>
      <x:c r="O34" s="5" t="str">
        <x:f>IF(H34="Done","Завершено",IF(N34&gt;0,"Есть блокеры",IF(H34="In Progress","В работе",IF(H34="Review","Нужна проверка",IF(J34="Next","После MVP",IF(F34="","Назначить","Можно брать"))))))</x:f>
        <x:v>Есть блокеры</x:v>
      </x:c>
    </x:row>
    <x:row r="35" ht="52" customHeight="1">
      <x:c r="A35" s="4" t="str">
        <x:v>I02</x:v>
      </x:c>
      <x:c r="B35" s="4" t="str">
        <x:v>Предлагать подтвердить остатки из истории ОМА</x:v>
      </x:c>
      <x:c r="C35" s="4" t="str">
        <x:v>04 Материалы и BOM</x:v>
      </x:c>
      <x:c r="D35" s="4" t="str">
        <x:v>Backend</x:v>
      </x:c>
      <x:c r="E35" s="4" t="str">
        <x:v>Backend Go</x:v>
      </x:c>
      <x:c r="F35" s="13" t="str"/>
      <x:c r="G35" s="4" t="str">
        <x:v>Medium</x:v>
      </x:c>
      <x:c r="H35" s="4" t="str">
        <x:v>Backlog</x:v>
      </x:c>
      <x:c r="I35" s="4" t="str">
        <x:v>I01, M07, M08</x:v>
      </x:c>
      <x:c r="J35" s="4" t="str">
        <x:v>MVP</x:v>
      </x:c>
      <x:c r="K35" s="4" t="str">
        <x:v>S</x:v>
      </x:c>
      <x:c r="L35" s="4" t="str">
        <x:v>• Без подтверждения новая закупка не уменьшается.
• Повтор импорта не создаёт дубли одной подсказки.
• Ответ пользователя сохраняется отдельно от купленного количества.</x:v>
      </x:c>
      <x:c r="M35" s="4" t="str">
        <x:v>docs/technical-spec.md #data</x:v>
      </x:c>
      <x:c r="N35" s="14" t="n">
        <x:f>3-COUNTIFS($A$9:$A$99,"I01",$H$9:$H$99,"Done")-COUNTIFS($A$9:$A$99,"M07",$H$9:$H$99,"Done")-COUNTIFS($A$9:$A$99,"M08",$H$9:$H$99,"Done")</x:f>
        <x:v>3</x:v>
      </x:c>
      <x:c r="O35" s="4" t="str">
        <x:f>IF(H35="Done","Завершено",IF(N35&gt;0,"Есть блокеры",IF(H35="In Progress","В работе",IF(H35="Review","Нужна проверка",IF(J35="Next","После MVP",IF(F35="","Назначить","Можно брать"))))))</x:f>
        <x:v>Есть блокеры</x:v>
      </x:c>
    </x:row>
    <x:row r="36" ht="52" customHeight="1">
      <x:c r="A36" s="5" t="str">
        <x:v>I03</x:v>
      </x:c>
      <x:c r="B36" s="5" t="str">
        <x:v>Резервировать имеющееся между активными проектами</x:v>
      </x:c>
      <x:c r="C36" s="5" t="str">
        <x:v>04 Материалы и BOM</x:v>
      </x:c>
      <x:c r="D36" s="5" t="str">
        <x:v>Backend</x:v>
      </x:c>
      <x:c r="E36" s="5" t="str">
        <x:v>Backend Go</x:v>
      </x:c>
      <x:c r="F36" s="13" t="str"/>
      <x:c r="G36" s="5" t="str">
        <x:v>High</x:v>
      </x:c>
      <x:c r="H36" s="5" t="str">
        <x:v>Backlog</x:v>
      </x:c>
      <x:c r="I36" s="5" t="str">
        <x:v>I01, F03</x:v>
      </x:c>
      <x:c r="J36" s="5" t="str">
        <x:v>MVP</x:v>
      </x:c>
      <x:c r="K36" s="5" t="str">
        <x:v>M</x:v>
      </x:c>
      <x:c r="L36" s="5" t="str">
        <x:v>• Одновременные запросы не выделяют объём сверх доступного.
• Ремонтный резерв отделён от расхода.
• Операции транзакционны и проверены конкурентным тестом.</x:v>
      </x:c>
      <x:c r="M36" s="5" t="str">
        <x:v>docs/technical-spec.md #data</x:v>
      </x:c>
      <x:c r="N36" s="15" t="n">
        <x:f>2-COUNTIFS($A$9:$A$99,"I01",$H$9:$H$99,"Done")-COUNTIFS($A$9:$A$99,"F03",$H$9:$H$99,"Done")</x:f>
        <x:v>2</x:v>
      </x:c>
      <x:c r="O36" s="5" t="str">
        <x:f>IF(H36="Done","Завершено",IF(N36&gt;0,"Есть блокеры",IF(H36="In Progress","В работе",IF(H36="Review","Нужна проверка",IF(J36="Next","После MVP",IF(F36="","Назначить","Можно брать"))))))</x:f>
        <x:v>Есть блокеры</x:v>
      </x:c>
    </x:row>
    <x:row r="37" ht="52" customHeight="1">
      <x:c r="A37" s="4" t="str">
        <x:v>I04</x:v>
      </x:c>
      <x:c r="B37" s="4" t="str">
        <x:v>Рассчитывать покрытия и количество упаковок</x:v>
      </x:c>
      <x:c r="C37" s="4" t="str">
        <x:v>04 Материалы и BOM</x:v>
      </x:c>
      <x:c r="D37" s="4" t="str">
        <x:v>Backend</x:v>
      </x:c>
      <x:c r="E37" s="4" t="str">
        <x:v>Backend Go</x:v>
      </x:c>
      <x:c r="F37" s="13" t="str"/>
      <x:c r="G37" s="4" t="str">
        <x:v>High</x:v>
      </x:c>
      <x:c r="H37" s="4" t="str">
        <x:v>Backlog</x:v>
      </x:c>
      <x:c r="I37" s="4" t="str">
        <x:v>P02, M08, F06</x:v>
      </x:c>
      <x:c r="J37" s="4" t="str">
        <x:v>MVP</x:v>
      </x:c>
      <x:c r="K37" s="4" t="str">
        <x:v>M</x:v>
      </x:c>
      <x:c r="L37" s="4" t="str">
        <x:v>• Результаты сверены вручную на fixture-примерах.
• Единицы и округление упаковок однозначны.
• Недостаточные вводные возвращают вопрос, а не произвольное число.</x:v>
      </x:c>
      <x:c r="M37" s="4" t="str">
        <x:v>docs/technical-spec.md #data</x:v>
      </x:c>
      <x:c r="N37" s="14" t="n">
        <x:f>3-COUNTIFS($A$9:$A$99,"P02",$H$9:$H$99,"Done")-COUNTIFS($A$9:$A$99,"M08",$H$9:$H$99,"Done")-COUNTIFS($A$9:$A$99,"F06",$H$9:$H$99,"Done")</x:f>
        <x:v>3</x:v>
      </x:c>
      <x:c r="O37" s="4" t="str">
        <x:f>IF(H37="Done","Завершено",IF(N37&gt;0,"Есть блокеры",IF(H37="In Progress","В работе",IF(H37="Review","Нужна проверка",IF(J37="Next","После MVP",IF(F37="","Назначить","Можно брать"))))))</x:f>
        <x:v>Есть блокеры</x:v>
      </x:c>
    </x:row>
    <x:row r="38" ht="52" customHeight="1">
      <x:c r="A38" s="5" t="str">
        <x:v>I07</x:v>
      </x:c>
      <x:c r="B38" s="5" t="str">
        <x:v>Рассчитывать обои с учётом полос и рисунка</x:v>
      </x:c>
      <x:c r="C38" s="5" t="str">
        <x:v>04 Материалы и BOM</x:v>
      </x:c>
      <x:c r="D38" s="5" t="str">
        <x:v>Backend</x:v>
      </x:c>
      <x:c r="E38" s="5" t="str">
        <x:v>Backend Go</x:v>
      </x:c>
      <x:c r="F38" s="13" t="str"/>
      <x:c r="G38" s="5" t="str">
        <x:v>High</x:v>
      </x:c>
      <x:c r="H38" s="5" t="str">
        <x:v>Backlog</x:v>
      </x:c>
      <x:c r="I38" s="5" t="str">
        <x:v>P02, M08, F06</x:v>
      </x:c>
      <x:c r="J38" s="5" t="str">
        <x:v>MVP</x:v>
      </x:c>
      <x:c r="K38" s="5" t="str">
        <x:v>M</x:v>
      </x:c>
      <x:c r="L38" s="5" t="str">
        <x:v>• Примеры с рисунком и без сверены вручную.
• Площадь не подменяет раскрой полос.
• Неизвестная высота или раппорт возвращает уточнение.</x:v>
      </x:c>
      <x:c r="M38" s="5" t="str">
        <x:v>docs/technical-spec.md #data</x:v>
      </x:c>
      <x:c r="N38" s="15" t="n">
        <x:f>3-COUNTIFS($A$9:$A$99,"P02",$H$9:$H$99,"Done")-COUNTIFS($A$9:$A$99,"M08",$H$9:$H$99,"Done")-COUNTIFS($A$9:$A$99,"F06",$H$9:$H$99,"Done")</x:f>
        <x:v>3</x:v>
      </x:c>
      <x:c r="O38" s="5" t="str">
        <x:f>IF(H38="Done","Завершено",IF(N38&gt;0,"Есть блокеры",IF(H38="In Progress","В работе",IF(H38="Review","Нужна проверка",IF(J38="Next","После MVP",IF(F38="","Назначить","Можно брать"))))))</x:f>
        <x:v>Есть блокеры</x:v>
      </x:c>
    </x:row>
    <x:row r="39" ht="52" customHeight="1">
      <x:c r="A39" s="4" t="str">
        <x:v>I08</x:v>
      </x:c>
      <x:c r="B39" s="4" t="str">
        <x:v>Рассчитывать краску по поверхности слоям и данным товара</x:v>
      </x:c>
      <x:c r="C39" s="4" t="str">
        <x:v>04 Материалы и BOM</x:v>
      </x:c>
      <x:c r="D39" s="4" t="str">
        <x:v>Backend</x:v>
      </x:c>
      <x:c r="E39" s="4" t="str">
        <x:v>Backend Go</x:v>
      </x:c>
      <x:c r="F39" s="13" t="str"/>
      <x:c r="G39" s="4" t="str">
        <x:v>High</x:v>
      </x:c>
      <x:c r="H39" s="4" t="str">
        <x:v>Backlog</x:v>
      </x:c>
      <x:c r="I39" s="4" t="str">
        <x:v>P02, M08, F06</x:v>
      </x:c>
      <x:c r="J39" s="4" t="str">
        <x:v>MVP</x:v>
      </x:c>
      <x:c r="K39" s="4" t="str">
        <x:v>M</x:v>
      </x:c>
      <x:c r="L39" s="4" t="str">
        <x:v>• Норма расхода имеет источник в данных товара.
• Слои и ёмкости не теряются при пересчёте.
• Граничные количества и округления проверены.</x:v>
      </x:c>
      <x:c r="M39" s="4" t="str">
        <x:v>docs/technical-spec.md #data</x:v>
      </x:c>
      <x:c r="N39" s="14" t="n">
        <x:f>3-COUNTIFS($A$9:$A$99,"P02",$H$9:$H$99,"Done")-COUNTIFS($A$9:$A$99,"M08",$H$9:$H$99,"Done")-COUNTIFS($A$9:$A$99,"F06",$H$9:$H$99,"Done")</x:f>
        <x:v>3</x:v>
      </x:c>
      <x:c r="O39" s="4" t="str">
        <x:f>IF(H39="Done","Завершено",IF(N39&gt;0,"Есть блокеры",IF(H39="In Progress","В работе",IF(H39="Review","Нужна проверка",IF(J39="Next","После MVP",IF(F39="","Назначить","Можно брать"))))))</x:f>
        <x:v>Есть блокеры</x:v>
      </x:c>
    </x:row>
    <x:row r="40" ht="52" customHeight="1">
      <x:c r="A40" s="5" t="str">
        <x:v>M05</x:v>
      </x:c>
      <x:c r="B40" s="5" t="str">
        <x:v>Реализовать симуляцию оформления и оплаты с серверной проверкой</x:v>
      </x:c>
      <x:c r="C40" s="5" t="str">
        <x:v>03 Магазин Mock OMA</x:v>
      </x:c>
      <x:c r="D40" s="5" t="str">
        <x:v>Backend</x:v>
      </x:c>
      <x:c r="E40" s="5" t="str">
        <x:v>Backend Go</x:v>
      </x:c>
      <x:c r="F40" s="13" t="str"/>
      <x:c r="G40" s="5" t="str">
        <x:v>High</x:v>
      </x:c>
      <x:c r="H40" s="5" t="str">
        <x:v>Backlog</x:v>
      </x:c>
      <x:c r="I40" s="5" t="str">
        <x:v>M04, F07</x:v>
      </x:c>
      <x:c r="J40" s="5" t="str">
        <x:v>MVP</x:v>
      </x:c>
      <x:c r="K40" s="5" t="str">
        <x:v>M</x:v>
      </x:c>
      <x:c r="L40" s="5" t="str">
        <x:v>• Оплата не проходит без серверного разрешения.
• Повтор запроса не создаёт второй заказ.
• Результат явно обозначен как симуляция.</x:v>
      </x:c>
      <x:c r="M40" s="5" t="str">
        <x:v>docs/technical-spec.md #api</x:v>
      </x:c>
      <x:c r="N40" s="15" t="n">
        <x:f>2-COUNTIFS($A$9:$A$99,"M04",$H$9:$H$99,"Done")-COUNTIFS($A$9:$A$99,"F07",$H$9:$H$99,"Done")</x:f>
        <x:v>2</x:v>
      </x:c>
      <x:c r="O40" s="5" t="str">
        <x:f>IF(H40="Done","Завершено",IF(N40&gt;0,"Есть блокеры",IF(H40="In Progress","В работе",IF(H40="Review","Нужна проверка",IF(J40="Next","После MVP",IF(F40="","Назначить","Можно брать"))))))</x:f>
        <x:v>Есть блокеры</x:v>
      </x:c>
    </x:row>
    <x:row r="41" ht="52" customHeight="1">
      <x:c r="A41" s="4" t="str">
        <x:v>P04</x:v>
      </x:c>
      <x:c r="B41" s="4" t="str">
        <x:v>Сделать список проектов и редактор помещений</x:v>
      </x:c>
      <x:c r="C41" s="4" t="str">
        <x:v>02 Проект и помещения</x:v>
      </x:c>
      <x:c r="D41" s="4" t="str">
        <x:v>Frontend</x:v>
      </x:c>
      <x:c r="E41" s="4" t="str">
        <x:v>Frontend</x:v>
      </x:c>
      <x:c r="F41" s="13" t="str"/>
      <x:c r="G41" s="4" t="str">
        <x:v>High</x:v>
      </x:c>
      <x:c r="H41" s="4" t="str">
        <x:v>Backlog</x:v>
      </x:c>
      <x:c r="I41" s="4" t="str">
        <x:v>P01, P02, F04</x:v>
      </x:c>
      <x:c r="J41" s="4" t="str">
        <x:v>MVP</x:v>
      </x:c>
      <x:c r="K41" s="4" t="str">
        <x:v>M</x:v>
      </x:c>
      <x:c r="L41" s="4" t="str">
        <x:v>• Две комнаты открываются без потери состояния.
• Обновление страницы восстанавливает введённое.
• Есть состояния ожидания, ошибки и пустого списка.</x:v>
      </x:c>
      <x:c r="M41" s="4" t="str">
        <x:v>docs/technical-spec.md #data</x:v>
      </x:c>
      <x:c r="N41" s="14" t="n">
        <x:f>3-COUNTIFS($A$9:$A$99,"P01",$H$9:$H$99,"Done")-COUNTIFS($A$9:$A$99,"P02",$H$9:$H$99,"Done")-COUNTIFS($A$9:$A$99,"F04",$H$9:$H$99,"Done")</x:f>
        <x:v>3</x:v>
      </x:c>
      <x:c r="O41" s="4" t="str">
        <x:f>IF(H41="Done","Завершено",IF(N41&gt;0,"Есть блокеры",IF(H41="In Progress","В работе",IF(H41="Review","Нужна проверка",IF(J41="Next","После MVP",IF(F41="","Назначить","Можно брать"))))))</x:f>
        <x:v>Есть блокеры</x:v>
      </x:c>
    </x:row>
    <x:row r="42" ht="52" customHeight="1">
      <x:c r="A42" s="5" t="str">
        <x:v>A04</x:v>
      </x:c>
      <x:c r="B42" s="5" t="str">
        <x:v>Хранить версии дизайна и выбор клиента</x:v>
      </x:c>
      <x:c r="C42" s="5" t="str">
        <x:v>05 Собери и AI</x:v>
      </x:c>
      <x:c r="D42" s="5" t="str">
        <x:v>Backend</x:v>
      </x:c>
      <x:c r="E42" s="5" t="str">
        <x:v>Backend Go</x:v>
      </x:c>
      <x:c r="F42" s="13" t="str"/>
      <x:c r="G42" s="5" t="str">
        <x:v>High</x:v>
      </x:c>
      <x:c r="H42" s="5" t="str">
        <x:v>Backlog</x:v>
      </x:c>
      <x:c r="I42" s="5" t="str">
        <x:v>A03, P01</x:v>
      </x:c>
      <x:c r="J42" s="5" t="str">
        <x:v>MVP</x:v>
      </x:c>
      <x:c r="K42" s="5" t="str">
        <x:v>M</x:v>
      </x:c>
      <x:c r="L42" s="5" t="str">
        <x:v>• Предыдущие версии остаются доступными.
• Выбранная версия однозначно связана со спецификацией.
• Повтор запроса не создаёт лишнего подтверждения.</x:v>
      </x:c>
      <x:c r="M42" s="5" t="str">
        <x:v>docs/technical-spec.md #visual</x:v>
      </x:c>
      <x:c r="N42" s="15" t="n">
        <x:f>2-COUNTIFS($A$9:$A$99,"A03",$H$9:$H$99,"Done")-COUNTIFS($A$9:$A$99,"P01",$H$9:$H$99,"Done")</x:f>
        <x:v>2</x:v>
      </x:c>
      <x:c r="O42" s="5" t="str">
        <x:f>IF(H42="Done","Завершено",IF(N42&gt;0,"Есть блокеры",IF(H42="In Progress","В работе",IF(H42="Review","Нужна проверка",IF(J42="Next","После MVP",IF(F42="","Назначить","Можно брать"))))))</x:f>
        <x:v>Есть блокеры</x:v>
      </x:c>
    </x:row>
    <x:row r="43" ht="52" customHeight="1">
      <x:c r="A43" s="4" t="str">
        <x:v>I05</x:v>
      </x:c>
      <x:c r="B43" s="4" t="str">
        <x:v>Сформировать версионную спецификацию по комнатам</x:v>
      </x:c>
      <x:c r="C43" s="4" t="str">
        <x:v>04 Материалы и BOM</x:v>
      </x:c>
      <x:c r="D43" s="4" t="str">
        <x:v>Backend</x:v>
      </x:c>
      <x:c r="E43" s="4" t="str">
        <x:v>Backend Go</x:v>
      </x:c>
      <x:c r="F43" s="13" t="str"/>
      <x:c r="G43" s="4" t="str">
        <x:v>High</x:v>
      </x:c>
      <x:c r="H43" s="4" t="str">
        <x:v>Backlog</x:v>
      </x:c>
      <x:c r="I43" s="4" t="str">
        <x:v>I03, I04, I07, I08</x:v>
      </x:c>
      <x:c r="J43" s="4" t="str">
        <x:v>MVP</x:v>
      </x:c>
      <x:c r="K43" s="4" t="str">
        <x:v>M</x:v>
      </x:c>
      <x:c r="L43" s="4" t="str">
        <x:v>• Одинаковые SKU агрегируются без потери распределения.
• Изменение проекта создаёт новую спецификацию.
• Неподтверждённые данные не выглядят готовым комплектом.</x:v>
      </x:c>
      <x:c r="M43" s="4" t="str">
        <x:v>docs/technical-spec.md #data</x:v>
      </x:c>
      <x:c r="N43" s="14" t="n">
        <x:f>4-COUNTIFS($A$9:$A$99,"I03",$H$9:$H$99,"Done")-COUNTIFS($A$9:$A$99,"I04",$H$9:$H$99,"Done")-COUNTIFS($A$9:$A$99,"I07",$H$9:$H$99,"Done")-COUNTIFS($A$9:$A$99,"I08",$H$9:$H$99,"Done")</x:f>
        <x:v>4</x:v>
      </x:c>
      <x:c r="O43" s="4" t="str">
        <x:f>IF(H43="Done","Завершено",IF(N43&gt;0,"Есть блокеры",IF(H43="In Progress","В работе",IF(H43="Review","Нужна проверка",IF(J43="Next","После MVP",IF(F43="","Назначить","Можно брать"))))))</x:f>
        <x:v>Есть блокеры</x:v>
      </x:c>
    </x:row>
    <x:row r="44" ht="52" customHeight="1">
      <x:c r="A44" s="5" t="str">
        <x:v>M06</x:v>
      </x:c>
      <x:c r="B44" s="5" t="str">
        <x:v>Добавить заказы частичные доставки и события магазина</x:v>
      </x:c>
      <x:c r="C44" s="5" t="str">
        <x:v>03 Магазин Mock OMA</x:v>
      </x:c>
      <x:c r="D44" s="5" t="str">
        <x:v>Backend</x:v>
      </x:c>
      <x:c r="E44" s="5" t="str">
        <x:v>Backend Go</x:v>
      </x:c>
      <x:c r="F44" s="13" t="str"/>
      <x:c r="G44" s="5" t="str">
        <x:v>High</x:v>
      </x:c>
      <x:c r="H44" s="5" t="str">
        <x:v>Backlog</x:v>
      </x:c>
      <x:c r="I44" s="5" t="str">
        <x:v>M05, F08</x:v>
      </x:c>
      <x:c r="J44" s="5" t="str">
        <x:v>MVP</x:v>
      </x:c>
      <x:c r="K44" s="5" t="str">
        <x:v>M</x:v>
      </x:c>
      <x:c r="L44" s="5" t="str">
        <x:v>• Оплаченные строки не переписываются.
• Частичная доставка содержит фактические количества.
• Демо-управление доставкой не обходит проверку оплаты.</x:v>
      </x:c>
      <x:c r="M44" s="5" t="str">
        <x:v>docs/technical-spec.md #api</x:v>
      </x:c>
      <x:c r="N44" s="15" t="n">
        <x:f>2-COUNTIFS($A$9:$A$99,"M05",$H$9:$H$99,"Done")-COUNTIFS($A$9:$A$99,"F08",$H$9:$H$99,"Done")</x:f>
        <x:v>2</x:v>
      </x:c>
      <x:c r="O44" s="5" t="str">
        <x:f>IF(H44="Done","Завершено",IF(N44&gt;0,"Есть блокеры",IF(H44="In Progress","В работе",IF(H44="Review","Нужна проверка",IF(J44="Next","После MVP",IF(F44="","Назначить","Можно брать"))))))</x:f>
        <x:v>Есть блокеры</x:v>
      </x:c>
    </x:row>
    <x:row r="45" ht="52" customHeight="1">
      <x:c r="A45" s="4" t="str">
        <x:v>A05</x:v>
      </x:c>
      <x:c r="B45" s="4" t="str">
        <x:v>Применять текстовые правки с проверкой условий</x:v>
      </x:c>
      <x:c r="C45" s="4" t="str">
        <x:v>05 Собери и AI</x:v>
      </x:c>
      <x:c r="D45" s="4" t="str">
        <x:v>AI</x:v>
      </x:c>
      <x:c r="E45" s="4" t="str">
        <x:v>AI/Backend</x:v>
      </x:c>
      <x:c r="F45" s="13" t="str"/>
      <x:c r="G45" s="4" t="str">
        <x:v>High</x:v>
      </x:c>
      <x:c r="H45" s="4" t="str">
        <x:v>Backlog</x:v>
      </x:c>
      <x:c r="I45" s="4" t="str">
        <x:v>A04</x:v>
      </x:c>
      <x:c r="J45" s="4" t="str">
        <x:v>MVP</x:v>
      </x:c>
      <x:c r="K45" s="4" t="str">
        <x:v>M</x:v>
      </x:c>
      <x:c r="L45" s="4" t="str">
        <x:v>• Пользователь видит предложенную разницу.
• Нельзя незаметно снять закреплённое ограничение.
• Невалидный ответ не изменяет подтверждённый состав.</x:v>
      </x:c>
      <x:c r="M45" s="4" t="str">
        <x:v>docs/technical-spec.md #visual</x:v>
      </x:c>
      <x:c r="N45" s="14" t="n">
        <x:f>1-COUNTIFS($A$9:$A$99,"A04",$H$9:$H$99,"Done")</x:f>
        <x:v>1</x:v>
      </x:c>
      <x:c r="O45" s="4" t="str">
        <x:f>IF(H45="Done","Завершено",IF(N45&gt;0,"Есть блокеры",IF(H45="In Progress","В работе",IF(H45="Review","Нужна проверка",IF(J45="Next","После MVP",IF(F45="","Назначить","Можно брать"))))))</x:f>
        <x:v>Есть блокеры</x:v>
      </x:c>
    </x:row>
    <x:row r="46" ht="52" customHeight="1">
      <x:c r="A46" s="5" t="str">
        <x:v>C01</x:v>
      </x:c>
      <x:c r="B46" s="5" t="str">
        <x:v>Синхронизировать спецификацию с проектными строками корзины</x:v>
      </x:c>
      <x:c r="C46" s="5" t="str">
        <x:v>07 Связь проекта с корзиной</x:v>
      </x:c>
      <x:c r="D46" s="5" t="str">
        <x:v>Backend</x:v>
      </x:c>
      <x:c r="E46" s="5" t="str">
        <x:v>Backend Go</x:v>
      </x:c>
      <x:c r="F46" s="13" t="str"/>
      <x:c r="G46" s="5" t="str">
        <x:v>High</x:v>
      </x:c>
      <x:c r="H46" s="5" t="str">
        <x:v>Backlog</x:v>
      </x:c>
      <x:c r="I46" s="5" t="str">
        <x:v>I05, A04, M03, M08</x:v>
      </x:c>
      <x:c r="J46" s="5" t="str">
        <x:v>MVP</x:v>
      </x:c>
      <x:c r="K46" s="5" t="str">
        <x:v>M</x:v>
      </x:c>
      <x:c r="L46" s="5" t="str">
        <x:v>• Повтор cart-sync не удваивает покупку.
• Обычные товары не удаляются при обновлении проекта.
• Изменение количества сохраняет происхождение строк.</x:v>
      </x:c>
      <x:c r="M46" s="5" t="str">
        <x:v>docs/technical-spec.md #api</x:v>
      </x:c>
      <x:c r="N46" s="15" t="n">
        <x:f>4-COUNTIFS($A$9:$A$99,"I05",$H$9:$H$99,"Done")-COUNTIFS($A$9:$A$99,"A04",$H$9:$H$99,"Done")-COUNTIFS($A$9:$A$99,"M03",$H$9:$H$99,"Done")-COUNTIFS($A$9:$A$99,"M08",$H$9:$H$99,"Done")</x:f>
        <x:v>4</x:v>
      </x:c>
      <x:c r="O46" s="5" t="str">
        <x:f>IF(H46="Done","Завершено",IF(N46&gt;0,"Есть блокеры",IF(H46="In Progress","В работе",IF(H46="Review","Нужна проверка",IF(J46="Next","После MVP",IF(F46="","Назначить","Можно брать"))))))</x:f>
        <x:v>Есть блокеры</x:v>
      </x:c>
    </x:row>
    <x:row r="47" ht="52" customHeight="1">
      <x:c r="A47" s="4" t="str">
        <x:v>I06</x:v>
      </x:c>
      <x:c r="B47" s="4" t="str">
        <x:v>Сделать интерфейс имеющегося и состава проекта</x:v>
      </x:c>
      <x:c r="C47" s="4" t="str">
        <x:v>04 Материалы и BOM</x:v>
      </x:c>
      <x:c r="D47" s="4" t="str">
        <x:v>Frontend</x:v>
      </x:c>
      <x:c r="E47" s="4" t="str">
        <x:v>Frontend</x:v>
      </x:c>
      <x:c r="F47" s="13" t="str"/>
      <x:c r="G47" s="4" t="str">
        <x:v>High</x:v>
      </x:c>
      <x:c r="H47" s="4" t="str">
        <x:v>Backlog</x:v>
      </x:c>
      <x:c r="I47" s="4" t="str">
        <x:v>I02, I05, F04</x:v>
      </x:c>
      <x:c r="J47" s="4" t="str">
        <x:v>MVP</x:v>
      </x:c>
      <x:c r="K47" s="4" t="str">
        <x:v>M</x:v>
      </x:c>
      <x:c r="L47" s="4" t="str">
        <x:v>• Пользователь понимает, что уже есть и что купить.
• Подтверждение партии обновляет состав.
• Показаны исходные данные и вопросы к расчёту.</x:v>
      </x:c>
      <x:c r="M47" s="4" t="str">
        <x:v>docs/technical-spec.md #data</x:v>
      </x:c>
      <x:c r="N47" s="14" t="n">
        <x:f>3-COUNTIFS($A$9:$A$99,"I02",$H$9:$H$99,"Done")-COUNTIFS($A$9:$A$99,"I05",$H$9:$H$99,"Done")-COUNTIFS($A$9:$A$99,"F04",$H$9:$H$99,"Done")</x:f>
        <x:v>3</x:v>
      </x:c>
      <x:c r="O47" s="4" t="str">
        <x:f>IF(H47="Done","Завершено",IF(N47&gt;0,"Есть блокеры",IF(H47="In Progress","В работе",IF(H47="Review","Нужна проверка",IF(J47="Next","После MVP",IF(F47="","Назначить","Можно брать"))))))</x:f>
        <x:v>Есть блокеры</x:v>
      </x:c>
    </x:row>
    <x:row r="48" ht="52" customHeight="1">
      <x:c r="A48" s="5" t="str">
        <x:v>V02</x:v>
      </x:c>
      <x:c r="B48" s="5" t="str">
        <x:v>Показать комнату и выбранные товары в 3D</x:v>
      </x:c>
      <x:c r="C48" s="5" t="str">
        <x:v>06 Визуализация и AR</x:v>
      </x:c>
      <x:c r="D48" s="5" t="str">
        <x:v>3D/AR</x:v>
      </x:c>
      <x:c r="E48" s="5" t="str">
        <x:v>3D/AR</x:v>
      </x:c>
      <x:c r="F48" s="13" t="str"/>
      <x:c r="G48" s="5" t="str">
        <x:v>High</x:v>
      </x:c>
      <x:c r="H48" s="5" t="str">
        <x:v>Backlog</x:v>
      </x:c>
      <x:c r="I48" s="5" t="str">
        <x:v>P02, A04, M01, F04</x:v>
      </x:c>
      <x:c r="J48" s="5" t="str">
        <x:v>MVP</x:v>
      </x:c>
      <x:c r="K48" s="5" t="str">
        <x:v>M</x:v>
      </x:c>
      <x:c r="L48" s="5" t="str">
        <x:v>• Масштаб и единицы совпадают с данными товара.
• Смена версии обновляет вид и сохраняет комнату.
• Подготовленный эскиз явно отличается от точной геометрии.</x:v>
      </x:c>
      <x:c r="M48" s="5" t="str">
        <x:v>docs/technical-spec.md #visual</x:v>
      </x:c>
      <x:c r="N48" s="15" t="n">
        <x:f>4-COUNTIFS($A$9:$A$99,"P02",$H$9:$H$99,"Done")-COUNTIFS($A$9:$A$99,"A04",$H$9:$H$99,"Done")-COUNTIFS($A$9:$A$99,"M01",$H$9:$H$99,"Done")-COUNTIFS($A$9:$A$99,"F04",$H$9:$H$99,"Done")</x:f>
        <x:v>4</x:v>
      </x:c>
      <x:c r="O48" s="5" t="str">
        <x:f>IF(H48="Done","Завершено",IF(N48&gt;0,"Есть блокеры",IF(H48="In Progress","В работе",IF(H48="Review","Нужна проверка",IF(J48="Next","После MVP",IF(F48="","Назначить","Можно брать"))))))</x:f>
        <x:v>Есть блокеры</x:v>
      </x:c>
    </x:row>
    <x:row r="49" ht="52" customHeight="1">
      <x:c r="A49" s="4" t="str">
        <x:v>V06</x:v>
      </x:c>
      <x:c r="B49" s="4" t="str">
        <x:v>Добавить фото-примерку отделки и сравнение до и после</x:v>
      </x:c>
      <x:c r="C49" s="4" t="str">
        <x:v>06 Визуализация и AR</x:v>
      </x:c>
      <x:c r="D49" s="4" t="str">
        <x:v>3D/AR</x:v>
      </x:c>
      <x:c r="E49" s="4" t="str">
        <x:v>3D/AR</x:v>
      </x:c>
      <x:c r="F49" s="13" t="str"/>
      <x:c r="G49" s="4" t="str">
        <x:v>Medium</x:v>
      </x:c>
      <x:c r="H49" s="4" t="str">
        <x:v>Backlog</x:v>
      </x:c>
      <x:c r="I49" s="4" t="str">
        <x:v>P03, A04, M01, F04</x:v>
      </x:c>
      <x:c r="J49" s="4" t="str">
        <x:v>MVP</x:v>
      </x:c>
      <x:c r="K49" s="4" t="str">
        <x:v>M</x:v>
      </x:c>
      <x:c r="L49" s="4" t="str">
        <x:v>• Смена материала обновляет фото-примерку.
• Иллюстрация не используется как источник точного замера.
• Подготовленные сцены отмечены, каталог и вариант согласованы.</x:v>
      </x:c>
      <x:c r="M49" s="4" t="str">
        <x:v>docs/technical-spec.md #visual</x:v>
      </x:c>
      <x:c r="N49" s="14" t="n">
        <x:f>4-COUNTIFS($A$9:$A$99,"P03",$H$9:$H$99,"Done")-COUNTIFS($A$9:$A$99,"A04",$H$9:$H$99,"Done")-COUNTIFS($A$9:$A$99,"M01",$H$9:$H$99,"Done")-COUNTIFS($A$9:$A$99,"F04",$H$9:$H$99,"Done")</x:f>
        <x:v>4</x:v>
      </x:c>
      <x:c r="O49" s="4" t="str">
        <x:f>IF(H49="Done","Завершено",IF(N49&gt;0,"Есть блокеры",IF(H49="In Progress","В работе",IF(H49="Review","Нужна проверка",IF(J49="Next","После MVP",IF(F49="","Назначить","Можно брать"))))))</x:f>
        <x:v>Есть блокеры</x:v>
      </x:c>
    </x:row>
    <x:row r="50" ht="52" customHeight="1">
      <x:c r="A50" s="5" t="str">
        <x:v>A06</x:v>
      </x:c>
      <x:c r="B50" s="5" t="str">
        <x:v>Сделать чат сравнение вариантов и историю выбора</x:v>
      </x:c>
      <x:c r="C50" s="5" t="str">
        <x:v>05 Собери и AI</x:v>
      </x:c>
      <x:c r="D50" s="5" t="str">
        <x:v>Frontend</x:v>
      </x:c>
      <x:c r="E50" s="5" t="str">
        <x:v>Frontend</x:v>
      </x:c>
      <x:c r="F50" s="13" t="str"/>
      <x:c r="G50" s="5" t="str">
        <x:v>High</x:v>
      </x:c>
      <x:c r="H50" s="5" t="str">
        <x:v>Backlog</x:v>
      </x:c>
      <x:c r="I50" s="5" t="str">
        <x:v>A02, A04, A05, F04</x:v>
      </x:c>
      <x:c r="J50" s="5" t="str">
        <x:v>MVP</x:v>
      </x:c>
      <x:c r="K50" s="5" t="str">
        <x:v>M</x:v>
      </x:c>
      <x:c r="L50" s="5" t="str">
        <x:v>• Клиент выбирает и правит вариант без потери вводных.
• Обновление страницы восстанавливает состояние задания.
• Варианты объясняют различия и не обещают неизвестную цену.</x:v>
      </x:c>
      <x:c r="M50" s="5" t="str">
        <x:v>docs/technical-spec.md #visual</x:v>
      </x:c>
      <x:c r="N50" s="15" t="n">
        <x:f>4-COUNTIFS($A$9:$A$99,"A02",$H$9:$H$99,"Done")-COUNTIFS($A$9:$A$99,"A04",$H$9:$H$99,"Done")-COUNTIFS($A$9:$A$99,"A05",$H$9:$H$99,"Done")-COUNTIFS($A$9:$A$99,"F04",$H$9:$H$99,"Done")</x:f>
        <x:v>4</x:v>
      </x:c>
      <x:c r="O50" s="5" t="str">
        <x:f>IF(H50="Done","Завершено",IF(N50&gt;0,"Есть блокеры",IF(H50="In Progress","В работе",IF(H50="Review","Нужна проверка",IF(J50="Next","После MVP",IF(F50="","Назначить","Можно брать"))))))</x:f>
        <x:v>Есть блокеры</x:v>
      </x:c>
    </x:row>
    <x:row r="51" ht="52" customHeight="1">
      <x:c r="A51" s="4" t="str">
        <x:v>C02</x:v>
      </x:c>
      <x:c r="B51" s="4" t="str">
        <x:v>Согласовывать изменения товаров из магазина с проектом</x:v>
      </x:c>
      <x:c r="C51" s="4" t="str">
        <x:v>07 Связь проекта с корзиной</x:v>
      </x:c>
      <x:c r="D51" s="4" t="str">
        <x:v>Backend</x:v>
      </x:c>
      <x:c r="E51" s="4" t="str">
        <x:v>Backend Go</x:v>
      </x:c>
      <x:c r="F51" s="13" t="str"/>
      <x:c r="G51" s="4" t="str">
        <x:v>High</x:v>
      </x:c>
      <x:c r="H51" s="4" t="str">
        <x:v>Backlog</x:v>
      </x:c>
      <x:c r="I51" s="4" t="str">
        <x:v>C01, M03, F08</x:v>
      </x:c>
      <x:c r="J51" s="4" t="str">
        <x:v>MVP</x:v>
      </x:c>
      <x:c r="K51" s="4" t="str">
        <x:v>M</x:v>
      </x:c>
      <x:c r="L51" s="4" t="str">
        <x:v>• Замена через поиск отражается в проекте.
• Нет бесконечного обмена одинаковыми изменениями.
• Существенная правка не сохраняет старое техническое основание.</x:v>
      </x:c>
      <x:c r="M51" s="4" t="str">
        <x:v>docs/technical-spec.md #api</x:v>
      </x:c>
      <x:c r="N51" s="14" t="n">
        <x:f>3-COUNTIFS($A$9:$A$99,"C01",$H$9:$H$99,"Done")-COUNTIFS($A$9:$A$99,"M03",$H$9:$H$99,"Done")-COUNTIFS($A$9:$A$99,"F08",$H$9:$H$99,"Done")</x:f>
        <x:v>3</x:v>
      </x:c>
      <x:c r="O51" s="4" t="str">
        <x:f>IF(H51="Done","Завершено",IF(N51&gt;0,"Есть блокеры",IF(H51="In Progress","В работе",IF(H51="Review","Нужна проверка",IF(J51="Next","После MVP",IF(F51="","Назначить","Можно брать"))))))</x:f>
        <x:v>Есть блокеры</x:v>
      </x:c>
    </x:row>
    <x:row r="52" ht="52" customHeight="1">
      <x:c r="A52" s="5" t="str">
        <x:v>R04</x:v>
      </x:c>
      <x:c r="B52" s="5" t="str">
        <x:v>Проверять вводные и рассчитывать отпечаток комплекта</x:v>
      </x:c>
      <x:c r="C52" s="5" t="str">
        <x:v>08 Прораб до покупки</x:v>
      </x:c>
      <x:c r="D52" s="5" t="str">
        <x:v>Backend</x:v>
      </x:c>
      <x:c r="E52" s="5" t="str">
        <x:v>Backend Go</x:v>
      </x:c>
      <x:c r="F52" s="13" t="str"/>
      <x:c r="G52" s="5" t="str">
        <x:v>High</x:v>
      </x:c>
      <x:c r="H52" s="5" t="str">
        <x:v>Backlog</x:v>
      </x:c>
      <x:c r="I52" s="5" t="str">
        <x:v>I05, C01, P02</x:v>
      </x:c>
      <x:c r="J52" s="5" t="str">
        <x:v>MVP</x:v>
      </x:c>
      <x:c r="K52" s="5" t="str">
        <x:v>M</x:v>
      </x:c>
      <x:c r="L52" s="5" t="str">
        <x:v>• Неполный запрос возвращает NEEDS_DATA.
• Одинаковый состав имеет одинаковый версионный hash.
• Цена и не относящиеся к проекту строки не меняют hash.</x:v>
      </x:c>
      <x:c r="M52" s="5" t="str">
        <x:v>docs/technical-spec.md #checkout</x:v>
      </x:c>
      <x:c r="N52" s="15" t="n">
        <x:f>3-COUNTIFS($A$9:$A$99,"I05",$H$9:$H$99,"Done")-COUNTIFS($A$9:$A$99,"C01",$H$9:$H$99,"Done")-COUNTIFS($A$9:$A$99,"P02",$H$9:$H$99,"Done")</x:f>
        <x:v>3</x:v>
      </x:c>
      <x:c r="O52" s="5" t="str">
        <x:f>IF(H52="Done","Завершено",IF(N52&gt;0,"Есть блокеры",IF(H52="In Progress","В работе",IF(H52="Review","Нужна проверка",IF(J52="Next","После MVP",IF(F52="","Назначить","Можно брать"))))))</x:f>
        <x:v>Есть блокеры</x:v>
      </x:c>
    </x:row>
    <x:row r="53" ht="52" customHeight="1">
      <x:c r="A53" s="4" t="str">
        <x:v>V03</x:v>
      </x:c>
      <x:c r="B53" s="4" t="str">
        <x:v>Добавить выбор перемещение и закрепление объектов</x:v>
      </x:c>
      <x:c r="C53" s="4" t="str">
        <x:v>06 Визуализация и AR</x:v>
      </x:c>
      <x:c r="D53" s="4" t="str">
        <x:v>3D/AR</x:v>
      </x:c>
      <x:c r="E53" s="4" t="str">
        <x:v>3D/AR</x:v>
      </x:c>
      <x:c r="F53" s="13" t="str"/>
      <x:c r="G53" s="4" t="str">
        <x:v>High</x:v>
      </x:c>
      <x:c r="H53" s="4" t="str">
        <x:v>Backlog</x:v>
      </x:c>
      <x:c r="I53" s="4" t="str">
        <x:v>V02, A05</x:v>
      </x:c>
      <x:c r="J53" s="4" t="str">
        <x:v>MVP</x:v>
      </x:c>
      <x:c r="K53" s="4" t="str">
        <x:v>M</x:v>
      </x:c>
      <x:c r="L53" s="4" t="str">
        <x:v>• Закреплённый объект не исчезает при правках.
• Новая расстановка сохраняется после перезагрузки.
• Состав и визуализация ссылаются на одну версию.</x:v>
      </x:c>
      <x:c r="M53" s="4" t="str">
        <x:v>docs/technical-spec.md #visual</x:v>
      </x:c>
      <x:c r="N53" s="14" t="n">
        <x:f>2-COUNTIFS($A$9:$A$99,"V02",$H$9:$H$99,"Done")-COUNTIFS($A$9:$A$99,"A05",$H$9:$H$99,"Done")</x:f>
        <x:v>2</x:v>
      </x:c>
      <x:c r="O53" s="4" t="str">
        <x:f>IF(H53="Done","Завершено",IF(N53&gt;0,"Есть блокеры",IF(H53="In Progress","В работе",IF(H53="Review","Нужна проверка",IF(J53="Next","После MVP",IF(F53="","Назначить","Можно брать"))))))</x:f>
        <x:v>Есть блокеры</x:v>
      </x:c>
    </x:row>
    <x:row r="54" ht="52" customHeight="1">
      <x:c r="A54" s="5" t="str">
        <x:v>V04</x:v>
      </x:c>
      <x:c r="B54" s="5" t="str">
        <x:v>Реализовать AR-примерку с фиксированным масштабом</x:v>
      </x:c>
      <x:c r="C54" s="5" t="str">
        <x:v>06 Визуализация и AR</x:v>
      </x:c>
      <x:c r="D54" s="5" t="str">
        <x:v>3D/AR</x:v>
      </x:c>
      <x:c r="E54" s="5" t="str">
        <x:v>3D/AR</x:v>
      </x:c>
      <x:c r="F54" s="13" t="str"/>
      <x:c r="G54" s="5" t="str">
        <x:v>High</x:v>
      </x:c>
      <x:c r="H54" s="5" t="str">
        <x:v>Backlog</x:v>
      </x:c>
      <x:c r="I54" s="5" t="str">
        <x:v>V01, V02</x:v>
      </x:c>
      <x:c r="J54" s="5" t="str">
        <x:v>MVP</x:v>
      </x:c>
      <x:c r="K54" s="5" t="str">
        <x:v>M</x:v>
      </x:c>
      <x:c r="L54" s="5" t="str">
        <x:v>• AR проверен на реальном устройстве.
• Товар нельзя произвольно растянуть для ложного совпадения.
• Возврат восстанавливает выбранную версию.</x:v>
      </x:c>
      <x:c r="M54" s="5" t="str">
        <x:v>docs/technical-spec.md #visual</x:v>
      </x:c>
      <x:c r="N54" s="15" t="n">
        <x:f>2-COUNTIFS($A$9:$A$99,"V01",$H$9:$H$99,"Done")-COUNTIFS($A$9:$A$99,"V02",$H$9:$H$99,"Done")</x:f>
        <x:v>2</x:v>
      </x:c>
      <x:c r="O54" s="5" t="str">
        <x:f>IF(H54="Done","Завершено",IF(N54&gt;0,"Есть блокеры",IF(H54="In Progress","В работе",IF(H54="Review","Нужна проверка",IF(J54="Next","После MVP",IF(F54="","Назначить","Можно брать"))))))</x:f>
        <x:v>Есть блокеры</x:v>
      </x:c>
    </x:row>
    <x:row r="55" ht="52" customHeight="1">
      <x:c r="A55" s="4" t="str">
        <x:v>C03</x:v>
      </x:c>
      <x:c r="B55" s="4" t="str">
        <x:v>Сделать связанную корзину с видом результата и способом выполнения</x:v>
      </x:c>
      <x:c r="C55" s="4" t="str">
        <x:v>07 Связь проекта с корзиной</x:v>
      </x:c>
      <x:c r="D55" s="4" t="str">
        <x:v>Frontend</x:v>
      </x:c>
      <x:c r="E55" s="4" t="str">
        <x:v>Frontend</x:v>
      </x:c>
      <x:c r="F55" s="13" t="str"/>
      <x:c r="G55" s="4" t="str">
        <x:v>High</x:v>
      </x:c>
      <x:c r="H55" s="4" t="str">
        <x:v>Backlog</x:v>
      </x:c>
      <x:c r="I55" s="4" t="str">
        <x:v>C01, C02, M02, F04</x:v>
      </x:c>
      <x:c r="J55" s="4" t="str">
        <x:v>MVP</x:v>
      </x:c>
      <x:c r="K55" s="4" t="str">
        <x:v>M</x:v>
      </x:c>
      <x:c r="L55" s="4" t="str">
        <x:v>• Правка товара показывает изменения суммы и комплекта.
• Цена работ отделена от стоимости товаров.
• Из корзины можно вернуться к тому же проекту.</x:v>
      </x:c>
      <x:c r="M55" s="4" t="str">
        <x:v>docs/technical-spec.md #api</x:v>
      </x:c>
      <x:c r="N55" s="14" t="n">
        <x:f>4-COUNTIFS($A$9:$A$99,"C01",$H$9:$H$99,"Done")-COUNTIFS($A$9:$A$99,"C02",$H$9:$H$99,"Done")-COUNTIFS($A$9:$A$99,"M02",$H$9:$H$99,"Done")-COUNTIFS($A$9:$A$99,"F04",$H$9:$H$99,"Done")</x:f>
        <x:v>4</x:v>
      </x:c>
      <x:c r="O55" s="4" t="str">
        <x:f>IF(H55="Done","Завершено",IF(N55&gt;0,"Есть блокеры",IF(H55="In Progress","В работе",IF(H55="Review","Нужна проверка",IF(J55="Next","После MVP",IF(F55="","Назначить","Можно брать"))))))</x:f>
        <x:v>Есть блокеры</x:v>
      </x:c>
    </x:row>
    <x:row r="56" ht="52" customHeight="1">
      <x:c r="A56" s="5" t="str">
        <x:v>R05</x:v>
      </x:c>
      <x:c r="B56" s="5" t="str">
        <x:v>Отправлять одну адресную карточку проверки выбранному прорабу</x:v>
      </x:c>
      <x:c r="C56" s="5" t="str">
        <x:v>08 Прораб до покупки</x:v>
      </x:c>
      <x:c r="D56" s="5" t="str">
        <x:v>Backend</x:v>
      </x:c>
      <x:c r="E56" s="5" t="str">
        <x:v>Backend Go</x:v>
      </x:c>
      <x:c r="F56" s="13" t="str"/>
      <x:c r="G56" s="5" t="str">
        <x:v>High</x:v>
      </x:c>
      <x:c r="H56" s="5" t="str">
        <x:v>Backlog</x:v>
      </x:c>
      <x:c r="I56" s="5" t="str">
        <x:v>R03, R04, F08</x:v>
      </x:c>
      <x:c r="J56" s="5" t="str">
        <x:v>MVP</x:v>
      </x:c>
      <x:c r="K56" s="5" t="str">
        <x:v>M</x:v>
      </x:c>
      <x:c r="L56" s="5" t="str">
        <x:v>• Генерации и просмотр не уведомляют прораба.
• Повторная команда возвращает существующее обращение.
• В карточке есть весь контекст и конкретные вопросы.</x:v>
      </x:c>
      <x:c r="M56" s="5" t="str">
        <x:v>docs/technical-spec.md #checkout</x:v>
      </x:c>
      <x:c r="N56" s="15" t="n">
        <x:f>3-COUNTIFS($A$9:$A$99,"R03",$H$9:$H$99,"Done")-COUNTIFS($A$9:$A$99,"R04",$H$9:$H$99,"Done")-COUNTIFS($A$9:$A$99,"F08",$H$9:$H$99,"Done")</x:f>
        <x:v>3</x:v>
      </x:c>
      <x:c r="O56" s="5" t="str">
        <x:f>IF(H56="Done","Завершено",IF(N56&gt;0,"Есть блокеры",IF(H56="In Progress","В работе",IF(H56="Review","Нужна проверка",IF(J56="Next","После MVP",IF(F56="","Назначить","Можно брать"))))))</x:f>
        <x:v>Есть блокеры</x:v>
      </x:c>
    </x:row>
    <x:row r="57" ht="52" customHeight="1">
      <x:c r="A57" s="4" t="str">
        <x:v>V05</x:v>
      </x:c>
      <x:c r="B57" s="4" t="str">
        <x:v>Продолжать проект на телефоне через защищённый переход</x:v>
      </x:c>
      <x:c r="C57" s="4" t="str">
        <x:v>06 Визуализация и AR</x:v>
      </x:c>
      <x:c r="D57" s="4" t="str">
        <x:v>Frontend</x:v>
      </x:c>
      <x:c r="E57" s="4" t="str">
        <x:v>Frontend</x:v>
      </x:c>
      <x:c r="F57" s="13" t="str"/>
      <x:c r="G57" s="4" t="str">
        <x:v>Medium</x:v>
      </x:c>
      <x:c r="H57" s="4" t="str">
        <x:v>Backlog</x:v>
      </x:c>
      <x:c r="I57" s="4" t="str">
        <x:v>V04, F07, A04</x:v>
      </x:c>
      <x:c r="J57" s="4" t="str">
        <x:v>MVP</x:v>
      </x:c>
      <x:c r="K57" s="4" t="str">
        <x:v>M</x:v>
      </x:c>
      <x:c r="L57" s="4" t="str">
        <x:v>• На телефоне открывается та же версия.
• QR не раскрывает квартиру постороннему.
• Отказ от AR не блокирует обычную покупку.</x:v>
      </x:c>
      <x:c r="M57" s="4" t="str">
        <x:v>docs/technical-spec.md #visual</x:v>
      </x:c>
      <x:c r="N57" s="14" t="n">
        <x:f>3-COUNTIFS($A$9:$A$99,"V04",$H$9:$H$99,"Done")-COUNTIFS($A$9:$A$99,"F07",$H$9:$H$99,"Done")-COUNTIFS($A$9:$A$99,"A04",$H$9:$H$99,"Done")</x:f>
        <x:v>3</x:v>
      </x:c>
      <x:c r="O57" s="4" t="str">
        <x:f>IF(H57="Done","Завершено",IF(N57&gt;0,"Есть блокеры",IF(H57="In Progress","В работе",IF(H57="Review","Нужна проверка",IF(J57="Next","После MVP",IF(F57="","Назначить","Можно брать"))))))</x:f>
        <x:v>Есть блокеры</x:v>
      </x:c>
    </x:row>
    <x:row r="58" ht="52" customHeight="1">
      <x:c r="A58" s="5" t="str">
        <x:v>R06</x:v>
      </x:c>
      <x:c r="B58" s="5" t="str">
        <x:v>Реализовать решения прораба по проверке комплекта</x:v>
      </x:c>
      <x:c r="C58" s="5" t="str">
        <x:v>08 Прораб до покупки</x:v>
      </x:c>
      <x:c r="D58" s="5" t="str">
        <x:v>Backend</x:v>
      </x:c>
      <x:c r="E58" s="5" t="str">
        <x:v>Backend Go</x:v>
      </x:c>
      <x:c r="F58" s="13" t="str"/>
      <x:c r="G58" s="5" t="str">
        <x:v>High</x:v>
      </x:c>
      <x:c r="H58" s="5" t="str">
        <x:v>Backlog</x:v>
      </x:c>
      <x:c r="I58" s="5" t="str">
        <x:v>R05</x:v>
      </x:c>
      <x:c r="J58" s="5" t="str">
        <x:v>MVP</x:v>
      </x:c>
      <x:c r="K58" s="5" t="str">
        <x:v>M</x:v>
      </x:c>
      <x:c r="L58" s="5" t="str">
        <x:v>• Решение сохраняется за назначенным проверяющим.
• Клиент видит следующий шаг без ложного немедленного обещания.
• Нуждающийся в осмотре состав не выглядит подтверждённым.</x:v>
      </x:c>
      <x:c r="M58" s="5" t="str">
        <x:v>docs/technical-spec.md #checkout</x:v>
      </x:c>
      <x:c r="N58" s="15" t="n">
        <x:f>1-COUNTIFS($A$9:$A$99,"R05",$H$9:$H$99,"Done")</x:f>
        <x:v>1</x:v>
      </x:c>
      <x:c r="O58" s="5" t="str">
        <x:f>IF(H58="Done","Завершено",IF(N58&gt;0,"Есть блокеры",IF(H58="In Progress","В работе",IF(H58="Review","Нужна проверка",IF(J58="Next","После MVP",IF(F58="","Назначить","Можно брать"))))))</x:f>
        <x:v>Есть блокеры</x:v>
      </x:c>
    </x:row>
    <x:row r="59" ht="52" customHeight="1">
      <x:c r="A59" s="4" t="str">
        <x:v>R07</x:v>
      </x:c>
      <x:c r="B59" s="4" t="str">
        <x:v>Принимать точные правки прораба и обновлять комплект</x:v>
      </x:c>
      <x:c r="C59" s="4" t="str">
        <x:v>08 Прораб до покупки</x:v>
      </x:c>
      <x:c r="D59" s="4" t="str">
        <x:v>Backend</x:v>
      </x:c>
      <x:c r="E59" s="4" t="str">
        <x:v>Backend Go</x:v>
      </x:c>
      <x:c r="F59" s="13" t="str"/>
      <x:c r="G59" s="4" t="str">
        <x:v>High</x:v>
      </x:c>
      <x:c r="H59" s="4" t="str">
        <x:v>Backlog</x:v>
      </x:c>
      <x:c r="I59" s="4" t="str">
        <x:v>R06, A04, C02</x:v>
      </x:c>
      <x:c r="J59" s="4" t="str">
        <x:v>MVP</x:v>
      </x:c>
      <x:c r="K59" s="4" t="str">
        <x:v>M</x:v>
      </x:c>
      <x:c r="L59" s="4" t="str">
        <x:v>• Подтверждение действует только для совпавшего результата.
• Несогласованные предложения не переписывают покупку.
• Принятие неизменённой подтверждённой версии не требует второго запроса.</x:v>
      </x:c>
      <x:c r="M59" s="4" t="str">
        <x:v>docs/technical-spec.md #checkout</x:v>
      </x:c>
      <x:c r="N59" s="14" t="n">
        <x:f>3-COUNTIFS($A$9:$A$99,"R06",$H$9:$H$99,"Done")-COUNTIFS($A$9:$A$99,"A04",$H$9:$H$99,"Done")-COUNTIFS($A$9:$A$99,"C02",$H$9:$H$99,"Done")</x:f>
        <x:v>3</x:v>
      </x:c>
      <x:c r="O59" s="4" t="str">
        <x:f>IF(H59="Done","Завершено",IF(N59&gt;0,"Есть блокеры",IF(H59="In Progress","В работе",IF(H59="Review","Нужна проверка",IF(J59="Next","После MVP",IF(F59="","Назначить","Можно брать"))))))</x:f>
        <x:v>Есть блокеры</x:v>
      </x:c>
    </x:row>
    <x:row r="60" ht="52" customHeight="1">
      <x:c r="A60" s="5" t="str">
        <x:v>R09</x:v>
      </x:c>
      <x:c r="B60" s="5" t="str">
        <x:v>Согласовывать назначение прораба условия и цену работ</x:v>
      </x:c>
      <x:c r="C60" s="5" t="str">
        <x:v>08 Прораб до покупки</x:v>
      </x:c>
      <x:c r="D60" s="5" t="str">
        <x:v>Backend</x:v>
      </x:c>
      <x:c r="E60" s="5" t="str">
        <x:v>Backend Go</x:v>
      </x:c>
      <x:c r="F60" s="13" t="str"/>
      <x:c r="G60" s="5" t="str">
        <x:v>High</x:v>
      </x:c>
      <x:c r="H60" s="5" t="str">
        <x:v>Backlog</x:v>
      </x:c>
      <x:c r="I60" s="5" t="str">
        <x:v>R03, R06, F07</x:v>
      </x:c>
      <x:c r="J60" s="5" t="str">
        <x:v>MVP</x:v>
      </x:c>
      <x:c r="K60" s="5" t="str">
        <x:v>M</x:v>
      </x:c>
      <x:c r="L60" s="5" t="str">
        <x:v>• Проверка комплекта не назначает исполнителя автоматически.
• Принятые условия имеют версию и участников.
• Обязательная комиссия платформе не добавляется.</x:v>
      </x:c>
      <x:c r="M60" s="5" t="str">
        <x:v>docs/technical-spec.md #checkout</x:v>
      </x:c>
      <x:c r="N60" s="15" t="n">
        <x:f>3-COUNTIFS($A$9:$A$99,"R03",$H$9:$H$99,"Done")-COUNTIFS($A$9:$A$99,"R06",$H$9:$H$99,"Done")-COUNTIFS($A$9:$A$99,"F07",$H$9:$H$99,"Done")</x:f>
        <x:v>3</x:v>
      </x:c>
      <x:c r="O60" s="5" t="str">
        <x:f>IF(H60="Done","Завершено",IF(N60&gt;0,"Есть блокеры",IF(H60="In Progress","В работе",IF(H60="Review","Нужна проверка",IF(J60="Next","После MVP",IF(F60="","Назначить","Можно брать"))))))</x:f>
        <x:v>Есть блокеры</x:v>
      </x:c>
    </x:row>
    <x:row r="61" ht="52" customHeight="1">
      <x:c r="A61" s="4" t="str">
        <x:v>E01</x:v>
      </x:c>
      <x:c r="B61" s="4" t="str">
        <x:v>Создавать план работ с этапами критериями и весами</x:v>
      </x:c>
      <x:c r="C61" s="4" t="str">
        <x:v>10 Выполнение и приёмка</x:v>
      </x:c>
      <x:c r="D61" s="4" t="str">
        <x:v>Backend</x:v>
      </x:c>
      <x:c r="E61" s="4" t="str">
        <x:v>Backend Go</x:v>
      </x:c>
      <x:c r="F61" s="13" t="str"/>
      <x:c r="G61" s="4" t="str">
        <x:v>High</x:v>
      </x:c>
      <x:c r="H61" s="4" t="str">
        <x:v>Backlog</x:v>
      </x:c>
      <x:c r="I61" s="4" t="str">
        <x:v>R09, I05</x:v>
      </x:c>
      <x:c r="J61" s="4" t="str">
        <x:v>MVP</x:v>
      </x:c>
      <x:c r="K61" s="4" t="str">
        <x:v>M</x:v>
      </x:c>
      <x:c r="L61" s="4" t="str">
        <x:v>• Этапы имеют понятный результат и критерии.
• Зависимости плана не образуют цикл.
• Черновик плана не считается согласованным.</x:v>
      </x:c>
      <x:c r="M61" s="4" t="str">
        <x:v>docs/technical-spec.md #execution</x:v>
      </x:c>
      <x:c r="N61" s="14" t="n">
        <x:f>2-COUNTIFS($A$9:$A$99,"R09",$H$9:$H$99,"Done")-COUNTIFS($A$9:$A$99,"I05",$H$9:$H$99,"Done")</x:f>
        <x:v>2</x:v>
      </x:c>
      <x:c r="O61" s="4" t="str">
        <x:f>IF(H61="Done","Завершено",IF(N61&gt;0,"Есть блокеры",IF(H61="In Progress","В работе",IF(H61="Review","Нужна проверка",IF(J61="Next","После MVP",IF(F61="","Назначить","Можно брать"))))))</x:f>
        <x:v>Есть блокеры</x:v>
      </x:c>
    </x:row>
    <x:row r="62" ht="52" customHeight="1">
      <x:c r="A62" s="5" t="str">
        <x:v>R08</x:v>
      </x:c>
      <x:c r="B62" s="5" t="str">
        <x:v>Инвалидировать проверки только при существенных изменениях</x:v>
      </x:c>
      <x:c r="C62" s="5" t="str">
        <x:v>08 Прораб до покупки</x:v>
      </x:c>
      <x:c r="D62" s="5" t="str">
        <x:v>Backend</x:v>
      </x:c>
      <x:c r="E62" s="5" t="str">
        <x:v>Backend Go</x:v>
      </x:c>
      <x:c r="F62" s="13" t="str"/>
      <x:c r="G62" s="5" t="str">
        <x:v>High</x:v>
      </x:c>
      <x:c r="H62" s="5" t="str">
        <x:v>Backlog</x:v>
      </x:c>
      <x:c r="I62" s="5" t="str">
        <x:v>R04, R07, C02</x:v>
      </x:c>
      <x:c r="J62" s="5" t="str">
        <x:v>MVP</x:v>
      </x:c>
      <x:c r="K62" s="5" t="str">
        <x:v>M</x:v>
      </x:c>
      <x:c r="L62" s="5" t="str">
        <x:v>• Изменение только цены не вызывает повторную проверку.
• Замена материала не разрешает оплату со старым review.
• Отмена и истечение проверки обрабатываются явно.</x:v>
      </x:c>
      <x:c r="M62" s="5" t="str">
        <x:v>docs/technical-spec.md #checkout</x:v>
      </x:c>
      <x:c r="N62" s="15" t="n">
        <x:f>3-COUNTIFS($A$9:$A$99,"R04",$H$9:$H$99,"Done")-COUNTIFS($A$9:$A$99,"R07",$H$9:$H$99,"Done")-COUNTIFS($A$9:$A$99,"C02",$H$9:$H$99,"Done")</x:f>
        <x:v>3</x:v>
      </x:c>
      <x:c r="O62" s="5" t="str">
        <x:f>IF(H62="Done","Завершено",IF(N62&gt;0,"Есть блокеры",IF(H62="In Progress","В работе",IF(H62="Review","Нужна проверка",IF(J62="Next","После MVP",IF(F62="","Назначить","Можно брать"))))))</x:f>
        <x:v>Есть блокеры</x:v>
      </x:c>
    </x:row>
    <x:row r="63" ht="52" customHeight="1">
      <x:c r="A63" s="4" t="str">
        <x:v>R10</x:v>
      </x:c>
      <x:c r="B63" s="4" t="str">
        <x:v>Сделать интерфейс адресной проверки для клиента и прораба</x:v>
      </x:c>
      <x:c r="C63" s="4" t="str">
        <x:v>08 Прораб до покупки</x:v>
      </x:c>
      <x:c r="D63" s="4" t="str">
        <x:v>Frontend</x:v>
      </x:c>
      <x:c r="E63" s="4" t="str">
        <x:v>Frontend</x:v>
      </x:c>
      <x:c r="F63" s="13" t="str"/>
      <x:c r="G63" s="4" t="str">
        <x:v>High</x:v>
      </x:c>
      <x:c r="H63" s="4" t="str">
        <x:v>Backlog</x:v>
      </x:c>
      <x:c r="I63" s="4" t="str">
        <x:v>R02, R06, R07, F04</x:v>
      </x:c>
      <x:c r="J63" s="4" t="str">
        <x:v>MVP</x:v>
      </x:c>
      <x:c r="K63" s="4" t="str">
        <x:v>M</x:v>
      </x:c>
      <x:c r="L63" s="4" t="str">
        <x:v>• Есть полный путь отправка → решение → согласование.
• Неактуальная проверка показана отдельно от действующей.
• Повторы и ошибки не создают дополнительные обращения.</x:v>
      </x:c>
      <x:c r="M63" s="4" t="str">
        <x:v>docs/technical-spec.md #checkout</x:v>
      </x:c>
      <x:c r="N63" s="14" t="n">
        <x:f>4-COUNTIFS($A$9:$A$99,"R02",$H$9:$H$99,"Done")-COUNTIFS($A$9:$A$99,"R06",$H$9:$H$99,"Done")-COUNTIFS($A$9:$A$99,"R07",$H$9:$H$99,"Done")-COUNTIFS($A$9:$A$99,"F04",$H$9:$H$99,"Done")</x:f>
        <x:v>4</x:v>
      </x:c>
      <x:c r="O63" s="4" t="str">
        <x:f>IF(H63="Done","Завершено",IF(N63&gt;0,"Есть блокеры",IF(H63="In Progress","В работе",IF(H63="Review","Нужна проверка",IF(J63="Next","После MVP",IF(F63="","Назначить","Можно брать"))))))</x:f>
        <x:v>Есть блокеры</x:v>
      </x:c>
    </x:row>
    <x:row r="64" ht="52" customHeight="1">
      <x:c r="A64" s="5" t="str">
        <x:v>E02</x:v>
      </x:c>
      <x:c r="B64" s="5" t="str">
        <x:v>Согласовывать и показывать план работ заказчику</x:v>
      </x:c>
      <x:c r="C64" s="5" t="str">
        <x:v>10 Выполнение и приёмка</x:v>
      </x:c>
      <x:c r="D64" s="5" t="str">
        <x:v>Frontend</x:v>
      </x:c>
      <x:c r="E64" s="5" t="str">
        <x:v>Frontend</x:v>
      </x:c>
      <x:c r="F64" s="13" t="str"/>
      <x:c r="G64" s="5" t="str">
        <x:v>High</x:v>
      </x:c>
      <x:c r="H64" s="5" t="str">
        <x:v>Backlog</x:v>
      </x:c>
      <x:c r="I64" s="5" t="str">
        <x:v>E01, F04</x:v>
      </x:c>
      <x:c r="J64" s="5" t="str">
        <x:v>MVP</x:v>
      </x:c>
      <x:c r="K64" s="5" t="str">
        <x:v>M</x:v>
      </x:c>
      <x:c r="L64" s="5" t="str">
        <x:v>• Заказчик подтверждает конкретный объём.
• Работы и товарный заказ показаны раздельно.
• Изменение версии не скрывает ранее согласованную.</x:v>
      </x:c>
      <x:c r="M64" s="5" t="str">
        <x:v>docs/technical-spec.md #execution</x:v>
      </x:c>
      <x:c r="N64" s="15" t="n">
        <x:f>2-COUNTIFS($A$9:$A$99,"E01",$H$9:$H$99,"Done")-COUNTIFS($A$9:$A$99,"F04",$H$9:$H$99,"Done")</x:f>
        <x:v>2</x:v>
      </x:c>
      <x:c r="O64" s="5" t="str">
        <x:f>IF(H64="Done","Завершено",IF(N64&gt;0,"Есть блокеры",IF(H64="In Progress","В работе",IF(H64="Review","Нужна проверка",IF(J64="Next","После MVP",IF(F64="","Назначить","Можно брать"))))))</x:f>
        <x:v>Есть блокеры</x:v>
      </x:c>
    </x:row>
    <x:row r="65" ht="52" customHeight="1">
      <x:c r="A65" s="4" t="str">
        <x:v>Q01</x:v>
      </x:c>
      <x:c r="B65" s="4" t="str">
        <x:v>Создавать контекст оформления для котировки и подтверждённого состава</x:v>
      </x:c>
      <x:c r="C65" s="4" t="str">
        <x:v>09 Оплата заказ и доставка</x:v>
      </x:c>
      <x:c r="D65" s="4" t="str">
        <x:v>Backend</x:v>
      </x:c>
      <x:c r="E65" s="4" t="str">
        <x:v>Backend Go</x:v>
      </x:c>
      <x:c r="F65" s="13" t="str"/>
      <x:c r="G65" s="4" t="str">
        <x:v>High</x:v>
      </x:c>
      <x:c r="H65" s="4" t="str">
        <x:v>Backlog</x:v>
      </x:c>
      <x:c r="I65" s="4" t="str">
        <x:v>M04, C03, R08</x:v>
      </x:c>
      <x:c r="J65" s="4" t="str">
        <x:v>MVP</x:v>
      </x:c>
      <x:c r="K65" s="4" t="str">
        <x:v>M</x:v>
      </x:c>
      <x:c r="L65" s="4" t="str">
        <x:v>• Старую котировку нельзя применить к новой корзине.
• Сумма приходит из магазина и видна клиенту.
• Для самостоятельной работы не требуется фиктивная проверка прораба.</x:v>
      </x:c>
      <x:c r="M65" s="4" t="str">
        <x:v>docs/technical-spec.md #checkout</x:v>
      </x:c>
      <x:c r="N65" s="14" t="n">
        <x:f>3-COUNTIFS($A$9:$A$99,"M04",$H$9:$H$99,"Done")-COUNTIFS($A$9:$A$99,"C03",$H$9:$H$99,"Done")-COUNTIFS($A$9:$A$99,"R08",$H$9:$H$99,"Done")</x:f>
        <x:v>3</x:v>
      </x:c>
      <x:c r="O65" s="4" t="str">
        <x:f>IF(H65="Done","Завершено",IF(N65&gt;0,"Есть блокеры",IF(H65="In Progress","В работе",IF(H65="Review","Нужна проверка",IF(J65="Next","После MVP",IF(F65="","Назначить","Можно брать"))))))</x:f>
        <x:v>Есть блокеры</x:v>
      </x:c>
    </x:row>
    <x:row r="66" ht="52" customHeight="1">
      <x:c r="A66" s="5" t="str">
        <x:v>T01</x:v>
      </x:c>
      <x:c r="B66" s="5" t="str">
        <x:v>Подготовить воспроизводимые fixtures и сброс демосценария</x:v>
      </x:c>
      <x:c r="C66" s="5" t="str">
        <x:v>13 Проверка и демонстрация</x:v>
      </x:c>
      <x:c r="D66" s="5" t="str">
        <x:v>QA</x:v>
      </x:c>
      <x:c r="E66" s="5" t="str">
        <x:v>QA</x:v>
      </x:c>
      <x:c r="F66" s="13" t="str"/>
      <x:c r="G66" s="5" t="str">
        <x:v>High</x:v>
      </x:c>
      <x:c r="H66" s="5" t="str">
        <x:v>Backlog</x:v>
      </x:c>
      <x:c r="I66" s="5" t="str">
        <x:v>M06, R01, P02, E01</x:v>
      </x:c>
      <x:c r="J66" s="5" t="str">
        <x:v>MVP</x:v>
      </x:c>
      <x:c r="K66" s="5" t="str">
        <x:v>M</x:v>
      </x:c>
      <x:c r="L66" s="5" t="str">
        <x:v>• Демо запускается из известного состояния.
• Сброс не затрагивает обычные данные.
• Синтетические сведения и ускорение времени обозначены.</x:v>
      </x:c>
      <x:c r="M66" s="5" t="str">
        <x:v>docs/technical-spec.md #verification</x:v>
      </x:c>
      <x:c r="N66" s="15" t="n">
        <x:f>4-COUNTIFS($A$9:$A$99,"M06",$H$9:$H$99,"Done")-COUNTIFS($A$9:$A$99,"R01",$H$9:$H$99,"Done")-COUNTIFS($A$9:$A$99,"P02",$H$9:$H$99,"Done")-COUNTIFS($A$9:$A$99,"E01",$H$9:$H$99,"Done")</x:f>
        <x:v>4</x:v>
      </x:c>
      <x:c r="O66" s="5" t="str">
        <x:f>IF(H66="Done","Завершено",IF(N66&gt;0,"Есть блокеры",IF(H66="In Progress","В работе",IF(H66="Review","Нужна проверка",IF(J66="Next","После MVP",IF(F66="","Назначить","Можно брать"))))))</x:f>
        <x:v>Есть блокеры</x:v>
      </x:c>
    </x:row>
    <x:row r="67" ht="52" customHeight="1">
      <x:c r="A67" s="4" t="str">
        <x:v>Q02</x:v>
      </x:c>
      <x:c r="B67" s="4" t="str">
        <x:v>Авторизовывать оплату сервером по актуальным основаниям</x:v>
      </x:c>
      <x:c r="C67" s="4" t="str">
        <x:v>09 Оплата заказ и доставка</x:v>
      </x:c>
      <x:c r="D67" s="4" t="str">
        <x:v>Backend</x:v>
      </x:c>
      <x:c r="E67" s="4" t="str">
        <x:v>Backend Go</x:v>
      </x:c>
      <x:c r="F67" s="13" t="str"/>
      <x:c r="G67" s="4" t="str">
        <x:v>High</x:v>
      </x:c>
      <x:c r="H67" s="4" t="str">
        <x:v>Backlog</x:v>
      </x:c>
      <x:c r="I67" s="4" t="str">
        <x:v>Q01, M05</x:v>
      </x:c>
      <x:c r="J67" s="4" t="str">
        <x:v>MVP</x:v>
      </x:c>
      <x:c r="K67" s="4" t="str">
        <x:v>M</x:v>
      </x:c>
      <x:c r="L67" s="4" t="str">
        <x:v>• Браузерный значок не позволяет обойти проверку.
• Повтор с тем же ключом возвращает тот же результат.
• После авторизации состав заморожен для конкретного оформления.</x:v>
      </x:c>
      <x:c r="M67" s="4" t="str">
        <x:v>docs/technical-spec.md #checkout</x:v>
      </x:c>
      <x:c r="N67" s="14" t="n">
        <x:f>2-COUNTIFS($A$9:$A$99,"Q01",$H$9:$H$99,"Done")-COUNTIFS($A$9:$A$99,"M05",$H$9:$H$99,"Done")</x:f>
        <x:v>2</x:v>
      </x:c>
      <x:c r="O67" s="4" t="str">
        <x:f>IF(H67="Done","Завершено",IF(N67&gt;0,"Есть блокеры",IF(H67="In Progress","В работе",IF(H67="Review","Нужна проверка",IF(J67="Next","После MVP",IF(F67="","Назначить","Можно брать"))))))</x:f>
        <x:v>Есть блокеры</x:v>
      </x:c>
    </x:row>
    <x:row r="68" ht="52" customHeight="1">
      <x:c r="A68" s="5" t="str">
        <x:v>Q03</x:v>
      </x:c>
      <x:c r="B68" s="5" t="str">
        <x:v>Сделать подтверждение покупки и экран результата оплаты</x:v>
      </x:c>
      <x:c r="C68" s="5" t="str">
        <x:v>09 Оплата заказ и доставка</x:v>
      </x:c>
      <x:c r="D68" s="5" t="str">
        <x:v>Frontend</x:v>
      </x:c>
      <x:c r="E68" s="5" t="str">
        <x:v>Frontend</x:v>
      </x:c>
      <x:c r="F68" s="13" t="str"/>
      <x:c r="G68" s="5" t="str">
        <x:v>High</x:v>
      </x:c>
      <x:c r="H68" s="5" t="str">
        <x:v>Backlog</x:v>
      </x:c>
      <x:c r="I68" s="5" t="str">
        <x:v>Q02, M05</x:v>
      </x:c>
      <x:c r="J68" s="5" t="str">
        <x:v>MVP</x:v>
      </x:c>
      <x:c r="K68" s="5" t="str">
        <x:v>M</x:v>
      </x:c>
      <x:c r="L68" s="5" t="str">
        <x:v>• Не создаётся второй заказ при повторном нажатии.
• Изменение суммы явно подтверждается.
• Оплата товаров не выдаётся за оплату труда.</x:v>
      </x:c>
      <x:c r="M68" s="5" t="str">
        <x:v>docs/technical-spec.md #checkout</x:v>
      </x:c>
      <x:c r="N68" s="15" t="n">
        <x:f>2-COUNTIFS($A$9:$A$99,"Q02",$H$9:$H$99,"Done")-COUNTIFS($A$9:$A$99,"M05",$H$9:$H$99,"Done")</x:f>
        <x:v>2</x:v>
      </x:c>
      <x:c r="O68" s="5" t="str">
        <x:f>IF(H68="Done","Завершено",IF(N68&gt;0,"Есть блокеры",IF(H68="In Progress","В работе",IF(H68="Review","Нужна проверка",IF(J68="Next","После MVP",IF(F68="","Назначить","Можно брать"))))))</x:f>
        <x:v>Есть блокеры</x:v>
      </x:c>
    </x:row>
    <x:row r="69" ht="52" customHeight="1">
      <x:c r="A69" s="4" t="str">
        <x:v>Q04</x:v>
      </x:c>
      <x:c r="B69" s="4" t="str">
        <x:v>Обрабатывать события заказа и восстанавливать потерянную связь</x:v>
      </x:c>
      <x:c r="C69" s="4" t="str">
        <x:v>09 Оплата заказ и доставка</x:v>
      </x:c>
      <x:c r="D69" s="4" t="str">
        <x:v>Backend</x:v>
      </x:c>
      <x:c r="E69" s="4" t="str">
        <x:v>Backend Go</x:v>
      </x:c>
      <x:c r="F69" s="13" t="str"/>
      <x:c r="G69" s="4" t="str">
        <x:v>High</x:v>
      </x:c>
      <x:c r="H69" s="4" t="str">
        <x:v>Backlog</x:v>
      </x:c>
      <x:c r="I69" s="4" t="str">
        <x:v>Q02, M06, F08</x:v>
      </x:c>
      <x:c r="J69" s="4" t="str">
        <x:v>MVP</x:v>
      </x:c>
      <x:c r="K69" s="4" t="str">
        <x:v>M</x:v>
      </x:c>
      <x:c r="L69" s="4" t="str">
        <x:v>• Повтор события не создаёт второй OrderLink.
• Пропущенный callback восстанавливается сверкой.
• Старое событие не откатывает новое состояние.</x:v>
      </x:c>
      <x:c r="M69" s="4" t="str">
        <x:v>docs/technical-spec.md #checkout</x:v>
      </x:c>
      <x:c r="N69" s="14" t="n">
        <x:f>3-COUNTIFS($A$9:$A$99,"Q02",$H$9:$H$99,"Done")-COUNTIFS($A$9:$A$99,"M06",$H$9:$H$99,"Done")-COUNTIFS($A$9:$A$99,"F08",$H$9:$H$99,"Done")</x:f>
        <x:v>3</x:v>
      </x:c>
      <x:c r="O69" s="4" t="str">
        <x:f>IF(H69="Done","Завершено",IF(N69&gt;0,"Есть блокеры",IF(H69="In Progress","В работе",IF(H69="Review","Нужна проверка",IF(J69="Next","После MVP",IF(F69="","Назначить","Можно брать"))))))</x:f>
        <x:v>Есть блокеры</x:v>
      </x:c>
    </x:row>
    <x:row r="70" ht="52" customHeight="1">
      <x:c r="A70" s="5" t="str">
        <x:v>E03</x:v>
      </x:c>
      <x:c r="B70" s="5" t="str">
        <x:v>Начинать этап по зависимостям и готовым материалам</x:v>
      </x:c>
      <x:c r="C70" s="5" t="str">
        <x:v>10 Выполнение и приёмка</x:v>
      </x:c>
      <x:c r="D70" s="5" t="str">
        <x:v>Backend</x:v>
      </x:c>
      <x:c r="E70" s="5" t="str">
        <x:v>Backend Go</x:v>
      </x:c>
      <x:c r="F70" s="13" t="str"/>
      <x:c r="G70" s="5" t="str">
        <x:v>High</x:v>
      </x:c>
      <x:c r="H70" s="5" t="str">
        <x:v>Backlog</x:v>
      </x:c>
      <x:c r="I70" s="5" t="str">
        <x:v>E01, Q04, I03</x:v>
      </x:c>
      <x:c r="J70" s="5" t="str">
        <x:v>MVP</x:v>
      </x:c>
      <x:c r="K70" s="5" t="str">
        <x:v>M</x:v>
      </x:c>
      <x:c r="L70" s="5" t="str">
        <x:v>• Необеспеченный этап не начинается без объяснения.
• Обеспеченная часть может стартовать отдельно.
• Работа с собственными материалами не требует фиктивной покупки.</x:v>
      </x:c>
      <x:c r="M70" s="5" t="str">
        <x:v>docs/technical-spec.md #execution</x:v>
      </x:c>
      <x:c r="N70" s="15" t="n">
        <x:f>3-COUNTIFS($A$9:$A$99,"E01",$H$9:$H$99,"Done")-COUNTIFS($A$9:$A$99,"Q04",$H$9:$H$99,"Done")-COUNTIFS($A$9:$A$99,"I03",$H$9:$H$99,"Done")</x:f>
        <x:v>3</x:v>
      </x:c>
      <x:c r="O70" s="5" t="str">
        <x:f>IF(H70="Done","Завершено",IF(N70&gt;0,"Есть блокеры",IF(H70="In Progress","В работе",IF(H70="Review","Нужна проверка",IF(J70="Next","После MVP",IF(F70="","Назначить","Можно брать"))))))</x:f>
        <x:v>Есть блокеры</x:v>
      </x:c>
    </x:row>
    <x:row r="71" ht="52" customHeight="1">
      <x:c r="A71" s="4" t="str">
        <x:v>Q05</x:v>
      </x:c>
      <x:c r="B71" s="4" t="str">
        <x:v>Показать заказ частичные поставки и готовность материалов</x:v>
      </x:c>
      <x:c r="C71" s="4" t="str">
        <x:v>09 Оплата заказ и доставка</x:v>
      </x:c>
      <x:c r="D71" s="4" t="str">
        <x:v>Frontend</x:v>
      </x:c>
      <x:c r="E71" s="4" t="str">
        <x:v>Frontend</x:v>
      </x:c>
      <x:c r="F71" s="13" t="str"/>
      <x:c r="G71" s="4" t="str">
        <x:v>High</x:v>
      </x:c>
      <x:c r="H71" s="4" t="str">
        <x:v>Backlog</x:v>
      </x:c>
      <x:c r="I71" s="4" t="str">
        <x:v>Q04, M06</x:v>
      </x:c>
      <x:c r="J71" s="4" t="str">
        <x:v>MVP</x:v>
      </x:c>
      <x:c r="K71" s="4" t="str">
        <x:v>M</x:v>
      </x:c>
      <x:c r="L71" s="4" t="str">
        <x:v>• Частичная доставка видна по количествам.
• Событие магазина обновляет кабинет без ручного ввода.
• Ошибка API не превращается в фиктивную успешную доставку.</x:v>
      </x:c>
      <x:c r="M71" s="4" t="str">
        <x:v>docs/technical-spec.md #checkout</x:v>
      </x:c>
      <x:c r="N71" s="14" t="n">
        <x:f>2-COUNTIFS($A$9:$A$99,"Q04",$H$9:$H$99,"Done")-COUNTIFS($A$9:$A$99,"M06",$H$9:$H$99,"Done")</x:f>
        <x:v>2</x:v>
      </x:c>
      <x:c r="O71" s="4" t="str">
        <x:f>IF(H71="Done","Завершено",IF(N71&gt;0,"Есть блокеры",IF(H71="In Progress","В работе",IF(H71="Review","Нужна проверка",IF(J71="Next","После MVP",IF(F71="","Назначить","Можно брать"))))))</x:f>
        <x:v>Есть блокеры</x:v>
      </x:c>
    </x:row>
    <x:row r="72" ht="52" customHeight="1">
      <x:c r="A72" s="5" t="str">
        <x:v>T03</x:v>
      </x:c>
      <x:c r="B72" s="5" t="str">
        <x:v>Проверить HTTP-контракт интеграции и сбои оформления</x:v>
      </x:c>
      <x:c r="C72" s="5" t="str">
        <x:v>13 Проверка и демонстрация</x:v>
      </x:c>
      <x:c r="D72" s="5" t="str">
        <x:v>QA</x:v>
      </x:c>
      <x:c r="E72" s="5" t="str">
        <x:v>QA</x:v>
      </x:c>
      <x:c r="F72" s="13" t="str"/>
      <x:c r="G72" s="5" t="str">
        <x:v>High</x:v>
      </x:c>
      <x:c r="H72" s="5" t="str">
        <x:v>Backlog</x:v>
      </x:c>
      <x:c r="I72" s="5" t="str">
        <x:v>M08, Q04, R08</x:v>
      </x:c>
      <x:c r="J72" s="5" t="str">
        <x:v>MVP</x:v>
      </x:c>
      <x:c r="K72" s="5" t="str">
        <x:v>M</x:v>
      </x:c>
      <x:c r="L72" s="5" t="str">
        <x:v>• Состав не оплачивается по неактуальному подтверждению.
• Нет дублей заказа или потери оплаченного результата.
• Сверка восстанавливает связь после пропуска callback.</x:v>
      </x:c>
      <x:c r="M72" s="5" t="str">
        <x:v>docs/technical-spec.md #verification</x:v>
      </x:c>
      <x:c r="N72" s="15" t="n">
        <x:f>3-COUNTIFS($A$9:$A$99,"M08",$H$9:$H$99,"Done")-COUNTIFS($A$9:$A$99,"Q04",$H$9:$H$99,"Done")-COUNTIFS($A$9:$A$99,"R08",$H$9:$H$99,"Done")</x:f>
        <x:v>3</x:v>
      </x:c>
      <x:c r="O72" s="5" t="str">
        <x:f>IF(H72="Done","Завершено",IF(N72&gt;0,"Есть блокеры",IF(H72="In Progress","В работе",IF(H72="Review","Нужна проверка",IF(J72="Next","После MVP",IF(F72="","Назначить","Можно брать"))))))</x:f>
        <x:v>Есть блокеры</x:v>
      </x:c>
    </x:row>
    <x:row r="73" ht="52" customHeight="1">
      <x:c r="A73" s="4" t="str">
        <x:v>E04</x:v>
      </x:c>
      <x:c r="B73" s="4" t="str">
        <x:v>Сдавать фотоотчёт прораба с версиями</x:v>
      </x:c>
      <x:c r="C73" s="4" t="str">
        <x:v>10 Выполнение и приёмка</x:v>
      </x:c>
      <x:c r="D73" s="4" t="str">
        <x:v>Backend</x:v>
      </x:c>
      <x:c r="E73" s="4" t="str">
        <x:v>Backend Go</x:v>
      </x:c>
      <x:c r="F73" s="13" t="str"/>
      <x:c r="G73" s="4" t="str">
        <x:v>High</x:v>
      </x:c>
      <x:c r="H73" s="4" t="str">
        <x:v>Backlog</x:v>
      </x:c>
      <x:c r="I73" s="4" t="str">
        <x:v>E03, P03</x:v>
      </x:c>
      <x:c r="J73" s="4" t="str">
        <x:v>MVP</x:v>
      </x:c>
      <x:c r="K73" s="4" t="str">
        <x:v>M</x:v>
      </x:c>
      <x:c r="L73" s="4" t="str">
        <x:v>• Отчёт принадлежит этапу и текущей команде.
• Прошлые версии не перезаписываются.
• Сдача не увеличивает принятый процент.</x:v>
      </x:c>
      <x:c r="M73" s="4" t="str">
        <x:v>docs/technical-spec.md #execution</x:v>
      </x:c>
      <x:c r="N73" s="14" t="n">
        <x:f>2-COUNTIFS($A$9:$A$99,"E03",$H$9:$H$99,"Done")-COUNTIFS($A$9:$A$99,"P03",$H$9:$H$99,"Done")</x:f>
        <x:v>2</x:v>
      </x:c>
      <x:c r="O73" s="4" t="str">
        <x:f>IF(H73="Done","Завершено",IF(N73&gt;0,"Есть блокеры",IF(H73="In Progress","В работе",IF(H73="Review","Нужна проверка",IF(J73="Next","После MVP",IF(F73="","Назначить","Можно брать"))))))</x:f>
        <x:v>Есть блокеры</x:v>
      </x:c>
    </x:row>
    <x:row r="74" ht="52" customHeight="1">
      <x:c r="A74" s="5" t="str">
        <x:v>U01</x:v>
      </x:c>
      <x:c r="B74" s="5" t="str">
        <x:v>Собрать общий кабинет от выбранного вида до плана ремонта</x:v>
      </x:c>
      <x:c r="C74" s="5" t="str">
        <x:v>12 Общий кабинет и история</x:v>
      </x:c>
      <x:c r="D74" s="5" t="str">
        <x:v>Frontend</x:v>
      </x:c>
      <x:c r="E74" s="5" t="str">
        <x:v>Frontend</x:v>
      </x:c>
      <x:c r="F74" s="13" t="str"/>
      <x:c r="G74" s="5" t="str">
        <x:v>High</x:v>
      </x:c>
      <x:c r="H74" s="5" t="str">
        <x:v>Backlog</x:v>
      </x:c>
      <x:c r="I74" s="5" t="str">
        <x:v>P04, A06, C03, Q05, E02</x:v>
      </x:c>
      <x:c r="J74" s="5" t="str">
        <x:v>MVP</x:v>
      </x:c>
      <x:c r="K74" s="5" t="str">
        <x:v>M</x:v>
      </x:c>
      <x:c r="L74" s="5" t="str">
        <x:v>• Один project_id объединяет оба сервиса.
• Нет повторного ввода уже сохранённого состава.
• Доступны переходы к нужной комнате, заказу и этапу.</x:v>
      </x:c>
      <x:c r="M74" s="5" t="str">
        <x:v>docs/OMA-product-spec.md #tracking</x:v>
      </x:c>
      <x:c r="N74" s="15" t="n">
        <x:f>5-COUNTIFS($A$9:$A$99,"P04",$H$9:$H$99,"Done")-COUNTIFS($A$9:$A$99,"A06",$H$9:$H$99,"Done")-COUNTIFS($A$9:$A$99,"C03",$H$9:$H$99,"Done")-COUNTIFS($A$9:$A$99,"Q05",$H$9:$H$99,"Done")-COUNTIFS($A$9:$A$99,"E02",$H$9:$H$99,"Done")</x:f>
        <x:v>5</x:v>
      </x:c>
      <x:c r="O74" s="5" t="str">
        <x:f>IF(H74="Done","Завершено",IF(N74&gt;0,"Есть блокеры",IF(H74="In Progress","В работе",IF(H74="Review","Нужна проверка",IF(J74="Next","После MVP",IF(F74="","Назначить","Можно брать"))))))</x:f>
        <x:v>Есть блокеры</x:v>
      </x:c>
    </x:row>
    <x:row r="75" ht="52" customHeight="1">
      <x:c r="A75" s="4" t="str">
        <x:v>E05</x:v>
      </x:c>
      <x:c r="B75" s="4" t="str">
        <x:v>Принимать этап или отправлять замечания от имени заказчика</x:v>
      </x:c>
      <x:c r="C75" s="4" t="str">
        <x:v>10 Выполнение и приёмка</x:v>
      </x:c>
      <x:c r="D75" s="4" t="str">
        <x:v>Backend</x:v>
      </x:c>
      <x:c r="E75" s="4" t="str">
        <x:v>Backend Go</x:v>
      </x:c>
      <x:c r="F75" s="13" t="str"/>
      <x:c r="G75" s="4" t="str">
        <x:v>High</x:v>
      </x:c>
      <x:c r="H75" s="4" t="str">
        <x:v>Backlog</x:v>
      </x:c>
      <x:c r="I75" s="4" t="str">
        <x:v>E04, F07</x:v>
      </x:c>
      <x:c r="J75" s="4" t="str">
        <x:v>MVP</x:v>
      </x:c>
      <x:c r="K75" s="4" t="str">
        <x:v>M</x:v>
      </x:c>
      <x:c r="L75" s="4" t="str">
        <x:v>• Прораб и посредник не могут принять этап.
• Устаревший report_id возвращает ошибку.
• Повтор решения не создаёт дубли и сохраняет историю.</x:v>
      </x:c>
      <x:c r="M75" s="4" t="str">
        <x:v>docs/technical-spec.md #execution</x:v>
      </x:c>
      <x:c r="N75" s="14" t="n">
        <x:f>2-COUNTIFS($A$9:$A$99,"E04",$H$9:$H$99,"Done")-COUNTIFS($A$9:$A$99,"F07",$H$9:$H$99,"Done")</x:f>
        <x:v>2</x:v>
      </x:c>
      <x:c r="O75" s="4" t="str">
        <x:f>IF(H75="Done","Завершено",IF(N75&gt;0,"Есть блокеры",IF(H75="In Progress","В работе",IF(H75="Review","Нужна проверка",IF(J75="Next","После MVP",IF(F75="","Назначить","Можно брать"))))))</x:f>
        <x:v>Есть блокеры</x:v>
      </x:c>
    </x:row>
    <x:row r="76" ht="52" customHeight="1">
      <x:c r="A76" s="5" t="str">
        <x:v>D01</x:v>
      </x:c>
      <x:c r="B76" s="5" t="str">
        <x:v>Открывать обращения к ОМА с относящейся историей</x:v>
      </x:c>
      <x:c r="C76" s="5" t="str">
        <x:v>11 Посредничество ОМА</x:v>
      </x:c>
      <x:c r="D76" s="5" t="str">
        <x:v>Backend</x:v>
      </x:c>
      <x:c r="E76" s="5" t="str">
        <x:v>Backend Go</x:v>
      </x:c>
      <x:c r="F76" s="13" t="str"/>
      <x:c r="G76" s="5" t="str">
        <x:v>High</x:v>
      </x:c>
      <x:c r="H76" s="5" t="str">
        <x:v>Backlog</x:v>
      </x:c>
      <x:c r="I76" s="5" t="str">
        <x:v>E05, F07</x:v>
      </x:c>
      <x:c r="J76" s="5" t="str">
        <x:v>MVP</x:v>
      </x:c>
      <x:c r="K76" s="5" t="str">
        <x:v>M</x:v>
      </x:c>
      <x:c r="L76" s="5" t="str">
        <x:v>• Клиент и прораб могут обратиться.
• Посторонний оператор не получает все проекты.
• Открытие обращения не принимает и не отменяет весь ремонт.</x:v>
      </x:c>
      <x:c r="M76" s="5" t="str">
        <x:v>docs/technical-spec.md #execution</x:v>
      </x:c>
      <x:c r="N76" s="15" t="n">
        <x:f>2-COUNTIFS($A$9:$A$99,"E05",$H$9:$H$99,"Done")-COUNTIFS($A$9:$A$99,"F07",$H$9:$H$99,"Done")</x:f>
        <x:v>2</x:v>
      </x:c>
      <x:c r="O76" s="5" t="str">
        <x:f>IF(H76="Done","Завершено",IF(N76&gt;0,"Есть блокеры",IF(H76="In Progress","В работе",IF(H76="Review","Нужна проверка",IF(J76="Next","После MVP",IF(F76="","Назначить","Можно брать"))))))</x:f>
        <x:v>Есть блокеры</x:v>
      </x:c>
    </x:row>
    <x:row r="77" ht="52" customHeight="1">
      <x:c r="A77" s="4" t="str">
        <x:v>E06</x:v>
      </x:c>
      <x:c r="B77" s="4" t="str">
        <x:v>Сделать просмотр отчётов замечаний и приёмку в интерфейсе</x:v>
      </x:c>
      <x:c r="C77" s="4" t="str">
        <x:v>10 Выполнение и приёмка</x:v>
      </x:c>
      <x:c r="D77" s="4" t="str">
        <x:v>Frontend</x:v>
      </x:c>
      <x:c r="E77" s="4" t="str">
        <x:v>Frontend</x:v>
      </x:c>
      <x:c r="F77" s="13" t="str"/>
      <x:c r="G77" s="4" t="str">
        <x:v>High</x:v>
      </x:c>
      <x:c r="H77" s="4" t="str">
        <x:v>Backlog</x:v>
      </x:c>
      <x:c r="I77" s="4" t="str">
        <x:v>E05, E02, F04</x:v>
      </x:c>
      <x:c r="J77" s="4" t="str">
        <x:v>MVP</x:v>
      </x:c>
      <x:c r="K77" s="4" t="str">
        <x:v>M</x:v>
      </x:c>
      <x:c r="L77" s="4" t="str">
        <x:v>• Клиент различает сданное и принятое.
• Есть полный путь замечание → исправление → приёмка.
• Обновление страницы сохраняет решение сервера.</x:v>
      </x:c>
      <x:c r="M77" s="4" t="str">
        <x:v>docs/technical-spec.md #execution</x:v>
      </x:c>
      <x:c r="N77" s="14" t="n">
        <x:f>3-COUNTIFS($A$9:$A$99,"E05",$H$9:$H$99,"Done")-COUNTIFS($A$9:$A$99,"E02",$H$9:$H$99,"Done")-COUNTIFS($A$9:$A$99,"F04",$H$9:$H$99,"Done")</x:f>
        <x:v>3</x:v>
      </x:c>
      <x:c r="O77" s="4" t="str">
        <x:f>IF(H77="Done","Завершено",IF(N77&gt;0,"Есть блокеры",IF(H77="In Progress","В работе",IF(H77="Review","Нужна проверка",IF(J77="Next","После MVP",IF(F77="","Назначить","Можно брать"))))))</x:f>
        <x:v>Есть блокеры</x:v>
      </x:c>
    </x:row>
    <x:row r="78" ht="52" customHeight="1">
      <x:c r="A78" s="5" t="str">
        <x:v>E07</x:v>
      </x:c>
      <x:c r="B78" s="5" t="str">
        <x:v>Согласовывать изменения работ материалов цены и сроков</x:v>
      </x:c>
      <x:c r="C78" s="5" t="str">
        <x:v>10 Выполнение и приёмка</x:v>
      </x:c>
      <x:c r="D78" s="5" t="str">
        <x:v>Backend</x:v>
      </x:c>
      <x:c r="E78" s="5" t="str">
        <x:v>Backend Go</x:v>
      </x:c>
      <x:c r="F78" s="13" t="str"/>
      <x:c r="G78" s="5" t="str">
        <x:v>High</x:v>
      </x:c>
      <x:c r="H78" s="5" t="str">
        <x:v>Backlog</x:v>
      </x:c>
      <x:c r="I78" s="5" t="str">
        <x:v>E01, E05, Q03</x:v>
      </x:c>
      <x:c r="J78" s="5" t="str">
        <x:v>MVP</x:v>
      </x:c>
      <x:c r="K78" s="5" t="str">
        <x:v>M</x:v>
      </x:c>
      <x:c r="L78" s="5" t="str">
        <x:v>• Допработа не входит в объём без согласования.
• Изменение показывает последствия для суммы и графика.
• Принятые этапы и старый заказ остаются неизменными.</x:v>
      </x:c>
      <x:c r="M78" s="5" t="str">
        <x:v>docs/technical-spec.md #execution</x:v>
      </x:c>
      <x:c r="N78" s="15" t="n">
        <x:f>3-COUNTIFS($A$9:$A$99,"E01",$H$9:$H$99,"Done")-COUNTIFS($A$9:$A$99,"E05",$H$9:$H$99,"Done")-COUNTIFS($A$9:$A$99,"Q03",$H$9:$H$99,"Done")</x:f>
        <x:v>3</x:v>
      </x:c>
      <x:c r="O78" s="5" t="str">
        <x:f>IF(H78="Done","Завершено",IF(N78&gt;0,"Есть блокеры",IF(H78="In Progress","В работе",IF(H78="Review","Нужна проверка",IF(J78="Next","После MVP",IF(F78="","Назначить","Можно брать"))))))</x:f>
        <x:v>Есть блокеры</x:v>
      </x:c>
    </x:row>
    <x:row r="79" ht="52" customHeight="1">
      <x:c r="A79" s="4" t="str">
        <x:v>D03</x:v>
      </x:c>
      <x:c r="B79" s="4" t="str">
        <x:v>Фиксировать согласие сторон и исход урегулирования</x:v>
      </x:c>
      <x:c r="C79" s="4" t="str">
        <x:v>11 Посредничество ОМА</x:v>
      </x:c>
      <x:c r="D79" s="4" t="str">
        <x:v>Backend</x:v>
      </x:c>
      <x:c r="E79" s="4" t="str">
        <x:v>Backend Go</x:v>
      </x:c>
      <x:c r="F79" s="13" t="str"/>
      <x:c r="G79" s="4" t="str">
        <x:v>High</x:v>
      </x:c>
      <x:c r="H79" s="4" t="str">
        <x:v>Backlog</x:v>
      </x:c>
      <x:c r="I79" s="4" t="str">
        <x:v>D01, E07</x:v>
      </x:c>
      <x:c r="J79" s="4" t="str">
        <x:v>MVP</x:v>
      </x:c>
      <x:c r="K79" s="4" t="str">
        <x:v>M</x:v>
      </x:c>
      <x:c r="L79" s="4" t="str">
        <x:v>• Отказ или молчание не считаются согласием.
• Урегулирование не переводит этап в accepted.
• Блокировка затронутого этапа имеет отдельное основание.</x:v>
      </x:c>
      <x:c r="M79" s="4" t="str">
        <x:v>docs/technical-spec.md #execution</x:v>
      </x:c>
      <x:c r="N79" s="14" t="n">
        <x:f>2-COUNTIFS($A$9:$A$99,"D01",$H$9:$H$99,"Done")-COUNTIFS($A$9:$A$99,"E07",$H$9:$H$99,"Done")</x:f>
        <x:v>2</x:v>
      </x:c>
      <x:c r="O79" s="4" t="str">
        <x:f>IF(H79="Done","Завершено",IF(N79&gt;0,"Есть блокеры",IF(H79="In Progress","В работе",IF(H79="Review","Нужна проверка",IF(J79="Next","После MVP",IF(F79="","Назначить","Можно брать"))))))</x:f>
        <x:v>Есть блокеры</x:v>
      </x:c>
    </x:row>
    <x:row r="80" ht="52" customHeight="1">
      <x:c r="A80" s="5" t="str">
        <x:v>E08</x:v>
      </x:c>
      <x:c r="B80" s="5" t="str">
        <x:v>Завершать проект с итоговой приёмкой и фактическим расходом</x:v>
      </x:c>
      <x:c r="C80" s="5" t="str">
        <x:v>10 Выполнение и приёмка</x:v>
      </x:c>
      <x:c r="D80" s="5" t="str">
        <x:v>Backend</x:v>
      </x:c>
      <x:c r="E80" s="5" t="str">
        <x:v>Backend Go</x:v>
      </x:c>
      <x:c r="F80" s="13" t="str"/>
      <x:c r="G80" s="5" t="str">
        <x:v>High</x:v>
      </x:c>
      <x:c r="H80" s="5" t="str">
        <x:v>Backlog</x:v>
      </x:c>
      <x:c r="I80" s="5" t="str">
        <x:v>E05, E07, I01</x:v>
      </x:c>
      <x:c r="J80" s="5" t="str">
        <x:v>MVP</x:v>
      </x:c>
      <x:c r="K80" s="5" t="str">
        <x:v>M</x:v>
      </x:c>
      <x:c r="L80" s="5" t="str">
        <x:v>• Проект не завершается при незакрытом препятствии.
• Остаток подтверждается владельцем.
• Новый этап не переписывает ранее принятое.</x:v>
      </x:c>
      <x:c r="M80" s="5" t="str">
        <x:v>docs/technical-spec.md #execution</x:v>
      </x:c>
      <x:c r="N80" s="15" t="n">
        <x:f>3-COUNTIFS($A$9:$A$99,"E05",$H$9:$H$99,"Done")-COUNTIFS($A$9:$A$99,"E07",$H$9:$H$99,"Done")-COUNTIFS($A$9:$A$99,"I01",$H$9:$H$99,"Done")</x:f>
        <x:v>3</x:v>
      </x:c>
      <x:c r="O80" s="5" t="str">
        <x:f>IF(H80="Done","Завершено",IF(N80&gt;0,"Есть блокеры",IF(H80="In Progress","В работе",IF(H80="Review","Нужна проверка",IF(J80="Next","После MVP",IF(F80="","Назначить","Можно брать"))))))</x:f>
        <x:v>Есть блокеры</x:v>
      </x:c>
    </x:row>
    <x:row r="81" ht="52" customHeight="1">
      <x:c r="A81" s="4" t="str">
        <x:v>E09</x:v>
      </x:c>
      <x:c r="B81" s="4" t="str">
        <x:v>Сделать интерфейс согласования изменений работ</x:v>
      </x:c>
      <x:c r="C81" s="4" t="str">
        <x:v>10 Выполнение и приёмка</x:v>
      </x:c>
      <x:c r="D81" s="4" t="str">
        <x:v>Frontend</x:v>
      </x:c>
      <x:c r="E81" s="4" t="str">
        <x:v>Frontend</x:v>
      </x:c>
      <x:c r="F81" s="13" t="str"/>
      <x:c r="G81" s="4" t="str">
        <x:v>High</x:v>
      </x:c>
      <x:c r="H81" s="4" t="str">
        <x:v>Backlog</x:v>
      </x:c>
      <x:c r="I81" s="4" t="str">
        <x:v>E07, E02, F04</x:v>
      </x:c>
      <x:c r="J81" s="4" t="str">
        <x:v>MVP</x:v>
      </x:c>
      <x:c r="K81" s="4" t="str">
        <x:v>M</x:v>
      </x:c>
      <x:c r="L81" s="4" t="str">
        <x:v>• Несогласованное не становится действующим объёмом.
• Заказчик видит последствия до согласия.
• История исходного плана и заказа остаётся доступной.</x:v>
      </x:c>
      <x:c r="M81" s="4" t="str">
        <x:v>docs/technical-spec.md #execution</x:v>
      </x:c>
      <x:c r="N81" s="14" t="n">
        <x:f>3-COUNTIFS($A$9:$A$99,"E07",$H$9:$H$99,"Done")-COUNTIFS($A$9:$A$99,"E02",$H$9:$H$99,"Done")-COUNTIFS($A$9:$A$99,"F04",$H$9:$H$99,"Done")</x:f>
        <x:v>3</x:v>
      </x:c>
      <x:c r="O81" s="4" t="str">
        <x:f>IF(H81="Done","Завершено",IF(N81&gt;0,"Есть блокеры",IF(H81="In Progress","В работе",IF(H81="Review","Нужна проверка",IF(J81="Next","После MVP",IF(F81="","Назначить","Можно брать"))))))</x:f>
        <x:v>Есть блокеры</x:v>
      </x:c>
    </x:row>
    <x:row r="82" ht="52" customHeight="1">
      <x:c r="A82" s="5" t="str">
        <x:v>U03</x:v>
      </x:c>
      <x:c r="B82" s="5" t="str">
        <x:v>Показывать фотоисторию и прогресс по принятому объёму</x:v>
      </x:c>
      <x:c r="C82" s="5" t="str">
        <x:v>12 Общий кабинет и история</x:v>
      </x:c>
      <x:c r="D82" s="5" t="str">
        <x:v>Frontend</x:v>
      </x:c>
      <x:c r="E82" s="5" t="str">
        <x:v>Frontend</x:v>
      </x:c>
      <x:c r="F82" s="13" t="str"/>
      <x:c r="G82" s="5" t="str">
        <x:v>High</x:v>
      </x:c>
      <x:c r="H82" s="5" t="str">
        <x:v>Backlog</x:v>
      </x:c>
      <x:c r="I82" s="5" t="str">
        <x:v>U01, E06, V02</x:v>
      </x:c>
      <x:c r="J82" s="5" t="str">
        <x:v>MVP</x:v>
      </x:c>
      <x:c r="K82" s="5" t="str">
        <x:v>M</x:v>
      </x:c>
      <x:c r="L82" s="5" t="str">
        <x:v>• Сдача фото не увеличивает принятый процент.
• Расширение плана показывает новую базу расчёта.
• Статус графика не выдаётся за гарантию качества.</x:v>
      </x:c>
      <x:c r="M82" s="5" t="str">
        <x:v>docs/OMA-product-spec.md #tracking</x:v>
      </x:c>
      <x:c r="N82" s="15" t="n">
        <x:f>3-COUNTIFS($A$9:$A$99,"U01",$H$9:$H$99,"Done")-COUNTIFS($A$9:$A$99,"E06",$H$9:$H$99,"Done")-COUNTIFS($A$9:$A$99,"V02",$H$9:$H$99,"Done")</x:f>
        <x:v>3</x:v>
      </x:c>
      <x:c r="O82" s="5" t="str">
        <x:f>IF(H82="Done","Завершено",IF(N82&gt;0,"Есть блокеры",IF(H82="In Progress","В работе",IF(H82="Review","Нужна проверка",IF(J82="Next","После MVP",IF(F82="","Назначить","Можно брать"))))))</x:f>
        <x:v>Есть блокеры</x:v>
      </x:c>
    </x:row>
    <x:row r="83" ht="52" customHeight="1">
      <x:c r="A83" s="4" t="str">
        <x:v>B01</x:v>
      </x:c>
      <x:c r="B83" s="4" t="str">
        <x:v>Сохранять события продуктового пути для оценки пользы</x:v>
      </x:c>
      <x:c r="C83" s="4" t="str">
        <x:v>12 Общий кабинет и история</x:v>
      </x:c>
      <x:c r="D83" s="4" t="str">
        <x:v>Backend</x:v>
      </x:c>
      <x:c r="E83" s="4" t="str">
        <x:v>Backend Go</x:v>
      </x:c>
      <x:c r="F83" s="13" t="str"/>
      <x:c r="G83" s="4" t="str">
        <x:v>Medium</x:v>
      </x:c>
      <x:c r="H83" s="4" t="str">
        <x:v>Backlog</x:v>
      </x:c>
      <x:c r="I83" s="4" t="str">
        <x:v>F08, A06, C03, Q04, E08, V04</x:v>
      </x:c>
      <x:c r="J83" s="4" t="str">
        <x:v>MVP</x:v>
      </x:c>
      <x:c r="K83" s="4" t="str">
        <x:v>S</x:v>
      </x:c>
      <x:c r="L83" s="4" t="str">
        <x:v>• Можно проследить цепочку одного проекта.
• Демо-данные не выдаются за реальные продажи.
• Метрики не утверждают причинный рост без проверки.</x:v>
      </x:c>
      <x:c r="M83" s="4" t="str">
        <x:v>docs/OMA-product-spec.md #tracking</x:v>
      </x:c>
      <x:c r="N83" s="14" t="n">
        <x:f>6-COUNTIFS($A$9:$A$99,"F08",$H$9:$H$99,"Done")-COUNTIFS($A$9:$A$99,"A06",$H$9:$H$99,"Done")-COUNTIFS($A$9:$A$99,"C03",$H$9:$H$99,"Done")-COUNTIFS($A$9:$A$99,"Q04",$H$9:$H$99,"Done")-COUNTIFS($A$9:$A$99,"E08",$H$9:$H$99,"Done")-COUNTIFS($A$9:$A$99,"V04",$H$9:$H$99,"Done")</x:f>
        <x:v>6</x:v>
      </x:c>
      <x:c r="O83" s="4" t="str">
        <x:f>IF(H83="Done","Завершено",IF(N83&gt;0,"Есть блокеры",IF(H83="In Progress","В работе",IF(H83="Review","Нужна проверка",IF(J83="Next","После MVP",IF(F83="","Назначить","Можно брать"))))))</x:f>
        <x:v>Есть блокеры</x:v>
      </x:c>
    </x:row>
    <x:row r="84" ht="52" customHeight="1">
      <x:c r="A84" s="5" t="str">
        <x:v>D02</x:v>
      </x:c>
      <x:c r="B84" s="5" t="str">
        <x:v>Сделать кабинет посредника и обсуждение предложения</x:v>
      </x:c>
      <x:c r="C84" s="5" t="str">
        <x:v>11 Посредничество ОМА</x:v>
      </x:c>
      <x:c r="D84" s="5" t="str">
        <x:v>Frontend</x:v>
      </x:c>
      <x:c r="E84" s="5" t="str">
        <x:v>Frontend</x:v>
      </x:c>
      <x:c r="F84" s="13" t="str"/>
      <x:c r="G84" s="5" t="str">
        <x:v>High</x:v>
      </x:c>
      <x:c r="H84" s="5" t="str">
        <x:v>Backlog</x:v>
      </x:c>
      <x:c r="I84" s="5" t="str">
        <x:v>D01, D03, F04</x:v>
      </x:c>
      <x:c r="J84" s="5" t="str">
        <x:v>MVP</x:v>
      </x:c>
      <x:c r="K84" s="5" t="str">
        <x:v>M</x:v>
      </x:c>
      <x:c r="L84" s="5" t="str">
        <x:v>• Стороны видят предмет и предложенное действие.
• Доступ ограничен участниками и назначенным посредником.
• У посредника нет кнопки приёмки работы.</x:v>
      </x:c>
      <x:c r="M84" s="5" t="str">
        <x:v>docs/technical-spec.md #execution</x:v>
      </x:c>
      <x:c r="N84" s="15" t="n">
        <x:f>3-COUNTIFS($A$9:$A$99,"D01",$H$9:$H$99,"Done")-COUNTIFS($A$9:$A$99,"D03",$H$9:$H$99,"Done")-COUNTIFS($A$9:$A$99,"F04",$H$9:$H$99,"Done")</x:f>
        <x:v>3</x:v>
      </x:c>
      <x:c r="O84" s="5" t="str">
        <x:f>IF(H84="Done","Завершено",IF(N84&gt;0,"Есть блокеры",IF(H84="In Progress","В работе",IF(H84="Review","Нужна проверка",IF(J84="Next","После MVP",IF(F84="","Назначить","Можно брать"))))))</x:f>
        <x:v>Есть блокеры</x:v>
      </x:c>
    </x:row>
    <x:row r="85" ht="52" customHeight="1">
      <x:c r="A85" s="4" t="str">
        <x:v>T04</x:v>
      </x:c>
      <x:c r="B85" s="4" t="str">
        <x:v>Проверить права ролей файлы и защиту доменных решений</x:v>
      </x:c>
      <x:c r="C85" s="4" t="str">
        <x:v>13 Проверка и демонстрация</x:v>
      </x:c>
      <x:c r="D85" s="4" t="str">
        <x:v>QA</x:v>
      </x:c>
      <x:c r="E85" s="4" t="str">
        <x:v>QA</x:v>
      </x:c>
      <x:c r="F85" s="13" t="str"/>
      <x:c r="G85" s="4" t="str">
        <x:v>High</x:v>
      </x:c>
      <x:c r="H85" s="4" t="str">
        <x:v>Backlog</x:v>
      </x:c>
      <x:c r="I85" s="4" t="str">
        <x:v>P03, R05, E05, D03, A05</x:v>
      </x:c>
      <x:c r="J85" s="4" t="str">
        <x:v>MVP</x:v>
      </x:c>
      <x:c r="K85" s="4" t="str">
        <x:v>M</x:v>
      </x:c>
      <x:c r="L85" s="4" t="str">
        <x:v>• Чужие медиа и проект недоступны.
• Прораб/оператор не принимают работу.
• Невалидный AI-ответ и устаревшие данные не обходят правила.</x:v>
      </x:c>
      <x:c r="M85" s="4" t="str">
        <x:v>docs/technical-spec.md #verification</x:v>
      </x:c>
      <x:c r="N85" s="14" t="n">
        <x:f>5-COUNTIFS($A$9:$A$99,"P03",$H$9:$H$99,"Done")-COUNTIFS($A$9:$A$99,"R05",$H$9:$H$99,"Done")-COUNTIFS($A$9:$A$99,"E05",$H$9:$H$99,"Done")-COUNTIFS($A$9:$A$99,"D03",$H$9:$H$99,"Done")-COUNTIFS($A$9:$A$99,"A05",$H$9:$H$99,"Done")</x:f>
        <x:v>5</x:v>
      </x:c>
      <x:c r="O85" s="4" t="str">
        <x:f>IF(H85="Done","Завершено",IF(N85&gt;0,"Есть блокеры",IF(H85="In Progress","В работе",IF(H85="Review","Нужна проверка",IF(J85="Next","После MVP",IF(F85="","Назначить","Можно брать"))))))</x:f>
        <x:v>Есть блокеры</x:v>
      </x:c>
    </x:row>
    <x:row r="86" ht="52" customHeight="1">
      <x:c r="A86" s="5" t="str">
        <x:v>U02</x:v>
      </x:c>
      <x:c r="B86" s="5" t="str">
        <x:v>Доставлять обновления кабинета через SSE с восстановлением</x:v>
      </x:c>
      <x:c r="C86" s="5" t="str">
        <x:v>12 Общий кабинет и история</x:v>
      </x:c>
      <x:c r="D86" s="5" t="str">
        <x:v>Backend</x:v>
      </x:c>
      <x:c r="E86" s="5" t="str">
        <x:v>Backend Go</x:v>
      </x:c>
      <x:c r="F86" s="13" t="str"/>
      <x:c r="G86" s="5" t="str">
        <x:v>High</x:v>
      </x:c>
      <x:c r="H86" s="5" t="str">
        <x:v>Backlog</x:v>
      </x:c>
      <x:c r="I86" s="5" t="str">
        <x:v>F08, E05, D03</x:v>
      </x:c>
      <x:c r="J86" s="5" t="str">
        <x:v>MVP</x:v>
      </x:c>
      <x:c r="K86" s="5" t="str">
        <x:v>M</x:v>
      </x:c>
      <x:c r="L86" s="5" t="str">
        <x:v>• Повтор события не дублирует карточки.
• Поток не раскрывает чужой проект.
• После разрыва состояние совпадает с сервером.</x:v>
      </x:c>
      <x:c r="M86" s="5" t="str">
        <x:v>docs/OMA-product-spec.md #tracking</x:v>
      </x:c>
      <x:c r="N86" s="15" t="n">
        <x:f>3-COUNTIFS($A$9:$A$99,"F08",$H$9:$H$99,"Done")-COUNTIFS($A$9:$A$99,"E05",$H$9:$H$99,"Done")-COUNTIFS($A$9:$A$99,"D03",$H$9:$H$99,"Done")</x:f>
        <x:v>3</x:v>
      </x:c>
      <x:c r="O86" s="5" t="str">
        <x:f>IF(H86="Done","Завершено",IF(N86&gt;0,"Есть блокеры",IF(H86="In Progress","В работе",IF(H86="Review","Нужна проверка",IF(J86="Next","После MVP",IF(F86="","Назначить","Можно брать"))))))</x:f>
        <x:v>Есть блокеры</x:v>
      </x:c>
    </x:row>
    <x:row r="87" ht="52" customHeight="1">
      <x:c r="A87" s="4" t="str">
        <x:v>U05</x:v>
      </x:c>
      <x:c r="B87" s="4" t="str">
        <x:v>Сохранять итог проекта материалы и вход в следующую задачу</x:v>
      </x:c>
      <x:c r="C87" s="4" t="str">
        <x:v>12 Общий кабинет и история</x:v>
      </x:c>
      <x:c r="D87" s="4" t="str">
        <x:v>Frontend</x:v>
      </x:c>
      <x:c r="E87" s="4" t="str">
        <x:v>Frontend</x:v>
      </x:c>
      <x:c r="F87" s="13" t="str"/>
      <x:c r="G87" s="4" t="str">
        <x:v>Medium</x:v>
      </x:c>
      <x:c r="H87" s="4" t="str">
        <x:v>Backlog</x:v>
      </x:c>
      <x:c r="I87" s="4" t="str">
        <x:v>U01, E08, I06</x:v>
      </x:c>
      <x:c r="J87" s="4" t="str">
        <x:v>MVP</x:v>
      </x:c>
      <x:c r="K87" s="4" t="str">
        <x:v>M</x:v>
      </x:c>
      <x:c r="L87" s="4" t="str">
        <x:v>• Старый результат доступен после завершения.
• Материалы нового проекта требуют актуального подтверждения.
• Публикация кейса отделена от приватной истории.</x:v>
      </x:c>
      <x:c r="M87" s="4" t="str">
        <x:v>docs/OMA-product-spec.md #tracking</x:v>
      </x:c>
      <x:c r="N87" s="14" t="n">
        <x:f>3-COUNTIFS($A$9:$A$99,"U01",$H$9:$H$99,"Done")-COUNTIFS($A$9:$A$99,"E08",$H$9:$H$99,"Done")-COUNTIFS($A$9:$A$99,"I06",$H$9:$H$99,"Done")</x:f>
        <x:v>3</x:v>
      </x:c>
      <x:c r="O87" s="4" t="str">
        <x:f>IF(H87="Done","Завершено",IF(N87&gt;0,"Есть блокеры",IF(H87="In Progress","В работе",IF(H87="Review","Нужна проверка",IF(J87="Next","После MVP",IF(F87="","Назначить","Можно брать"))))))</x:f>
        <x:v>Есть блокеры</x:v>
      </x:c>
    </x:row>
    <x:row r="88" ht="52" customHeight="1">
      <x:c r="A88" s="5" t="str">
        <x:v>T02</x:v>
      </x:c>
      <x:c r="B88" s="5" t="str">
        <x:v>Проверить полный пользовательский сценарий обоих сервисов</x:v>
      </x:c>
      <x:c r="C88" s="5" t="str">
        <x:v>13 Проверка и демонстрация</x:v>
      </x:c>
      <x:c r="D88" s="5" t="str">
        <x:v>QA</x:v>
      </x:c>
      <x:c r="E88" s="5" t="str">
        <x:v>QA</x:v>
      </x:c>
      <x:c r="F88" s="13" t="str"/>
      <x:c r="G88" s="5" t="str">
        <x:v>High</x:v>
      </x:c>
      <x:c r="H88" s="5" t="str">
        <x:v>Backlog</x:v>
      </x:c>
      <x:c r="I88" s="5" t="str">
        <x:v>U03, U05, Q05, E08, D02, T01, V04, R10, E09, V06</x:v>
      </x:c>
      <x:c r="J88" s="5" t="str">
        <x:v>MVP</x:v>
      </x:c>
      <x:c r="K88" s="5" t="str">
        <x:v>M</x:v>
      </x:c>
      <x:c r="L88" s="5" t="str">
        <x:v>• Весь путь использует один проект.
• Оба сервиса реально участвуют в демонстрации.
• Основные действия воспроизводимы после перезапуска.</x:v>
      </x:c>
      <x:c r="M88" s="5" t="str">
        <x:v>docs/technical-spec.md #verification</x:v>
      </x:c>
      <x:c r="N88" s="15" t="n">
        <x:f>10-COUNTIFS($A$9:$A$99,"U03",$H$9:$H$99,"Done")-COUNTIFS($A$9:$A$99,"U05",$H$9:$H$99,"Done")-COUNTIFS($A$9:$A$99,"Q05",$H$9:$H$99,"Done")-COUNTIFS($A$9:$A$99,"E08",$H$9:$H$99,"Done")-COUNTIFS($A$9:$A$99,"D02",$H$9:$H$99,"Done")-COUNTIFS($A$9:$A$99,"T01",$H$9:$H$99,"Done")-COUNTIFS($A$9:$A$99,"V04",$H$9:$H$99,"Done")-COUNTIFS($A$9:$A$99,"R10",$H$9:$H$99,"Done")-COUNTIFS($A$9:$A$99,"E09",$H$9:$H$99,"Done")-COUNTIFS($A$9:$A$99,"V06",$H$9:$H$99,"Done")</x:f>
        <x:v>10</x:v>
      </x:c>
      <x:c r="O88" s="5" t="str">
        <x:f>IF(H88="Done","Завершено",IF(N88&gt;0,"Есть блокеры",IF(H88="In Progress","В работе",IF(H88="Review","Нужна проверка",IF(J88="Next","После MVP",IF(F88="","Назначить","Можно брать"))))))</x:f>
        <x:v>Есть блокеры</x:v>
      </x:c>
    </x:row>
    <x:row r="89" ht="52" customHeight="1">
      <x:c r="A89" s="4" t="str">
        <x:v>U04</x:v>
      </x:c>
      <x:c r="B89" s="4" t="str">
        <x:v>Добавить список решений и уведомления о нужных действиях</x:v>
      </x:c>
      <x:c r="C89" s="4" t="str">
        <x:v>12 Общий кабинет и история</x:v>
      </x:c>
      <x:c r="D89" s="4" t="str">
        <x:v>Frontend</x:v>
      </x:c>
      <x:c r="E89" s="4" t="str">
        <x:v>Frontend</x:v>
      </x:c>
      <x:c r="F89" s="13" t="str"/>
      <x:c r="G89" s="4" t="str">
        <x:v>Medium</x:v>
      </x:c>
      <x:c r="H89" s="4" t="str">
        <x:v>Backlog</x:v>
      </x:c>
      <x:c r="I89" s="4" t="str">
        <x:v>U02, R05, D03</x:v>
      </x:c>
      <x:c r="J89" s="4" t="str">
        <x:v>MVP</x:v>
      </x:c>
      <x:c r="K89" s="4" t="str">
        <x:v>M</x:v>
      </x:c>
      <x:c r="L89" s="4" t="str">
        <x:v>• Дубли событий не дублируют уведомления.
• Пользователь видит, что требуется именно от него.
• Закрытое действие не остаётся активным.</x:v>
      </x:c>
      <x:c r="M89" s="4" t="str">
        <x:v>docs/OMA-product-spec.md #tracking</x:v>
      </x:c>
      <x:c r="N89" s="14" t="n">
        <x:f>3-COUNTIFS($A$9:$A$99,"U02",$H$9:$H$99,"Done")-COUNTIFS($A$9:$A$99,"R05",$H$9:$H$99,"Done")-COUNTIFS($A$9:$A$99,"D03",$H$9:$H$99,"Done")</x:f>
        <x:v>3</x:v>
      </x:c>
      <x:c r="O89" s="4" t="str">
        <x:f>IF(H89="Done","Завершено",IF(N89&gt;0,"Есть блокеры",IF(H89="In Progress","В работе",IF(H89="Review","Нужна проверка",IF(J89="Next","После MVP",IF(F89="","Назначить","Можно брать"))))))</x:f>
        <x:v>Есть блокеры</x:v>
      </x:c>
    </x:row>
    <x:row r="90" ht="52" customHeight="1">
      <x:c r="A90" s="5" t="str">
        <x:v>T05</x:v>
      </x:c>
      <x:c r="B90" s="5" t="str">
        <x:v>Развернуть демо с HTTPS и проверить устройство AR</x:v>
      </x:c>
      <x:c r="C90" s="5" t="str">
        <x:v>13 Проверка и демонстрация</x:v>
      </x:c>
      <x:c r="D90" s="5" t="str">
        <x:v>DevOps</x:v>
      </x:c>
      <x:c r="E90" s="5" t="str">
        <x:v>DevOps</x:v>
      </x:c>
      <x:c r="F90" s="13" t="str"/>
      <x:c r="G90" s="5" t="str">
        <x:v>High</x:v>
      </x:c>
      <x:c r="H90" s="5" t="str">
        <x:v>Backlog</x:v>
      </x:c>
      <x:c r="I90" s="5" t="str">
        <x:v>T02, F09</x:v>
      </x:c>
      <x:c r="J90" s="5" t="str">
        <x:v>MVP</x:v>
      </x:c>
      <x:c r="K90" s="5" t="str">
        <x:v>M</x:v>
      </x:c>
      <x:c r="L90" s="5" t="str">
        <x:v>• AR работает в целевом защищённом контексте.
• Секреты не опубликованы; состояние переживает перезапуск.
• Есть инструкция запуска, диагностики и сброса демо.</x:v>
      </x:c>
      <x:c r="M90" s="5" t="str">
        <x:v>docs/technical-spec.md #verification</x:v>
      </x:c>
      <x:c r="N90" s="15" t="n">
        <x:f>2-COUNTIFS($A$9:$A$99,"T02",$H$9:$H$99,"Done")-COUNTIFS($A$9:$A$99,"F09",$H$9:$H$99,"Done")</x:f>
        <x:v>2</x:v>
      </x:c>
      <x:c r="O90" s="5" t="str">
        <x:f>IF(H90="Done","Завершено",IF(N90&gt;0,"Есть блокеры",IF(H90="In Progress","В работе",IF(H90="Review","Нужна проверка",IF(J90="Next","После MVP",IF(F90="","Назначить","Можно брать"))))))</x:f>
        <x:v>Есть блокеры</x:v>
      </x:c>
    </x:row>
    <x:row r="91" ht="52" customHeight="1">
      <x:c r="A91" s="4" t="str">
        <x:v>T06</x:v>
      </x:c>
      <x:c r="B91" s="4" t="str">
        <x:v>Подготовить README сценарий защиты и финальный прогон</x:v>
      </x:c>
      <x:c r="C91" s="4" t="str">
        <x:v>13 Проверка и демонстрация</x:v>
      </x:c>
      <x:c r="D91" s="4" t="str">
        <x:v>Design</x:v>
      </x:c>
      <x:c r="E91" s="4" t="str">
        <x:v>Product/UX</x:v>
      </x:c>
      <x:c r="F91" s="13" t="str"/>
      <x:c r="G91" s="4" t="str">
        <x:v>High</x:v>
      </x:c>
      <x:c r="H91" s="4" t="str">
        <x:v>Backlog</x:v>
      </x:c>
      <x:c r="I91" s="4" t="str">
        <x:v>T05, T03, T04</x:v>
      </x:c>
      <x:c r="J91" s="4" t="str">
        <x:v>MVP</x:v>
      </x:c>
      <x:c r="K91" s="4" t="str">
        <x:v>M</x:v>
      </x:c>
      <x:c r="L91" s="4" t="str">
        <x:v>• Документация соответствует работающему продукту.
• Показ охватывает оба сервиса и приёмку.
• Команда различает реальные функции, симуляцию и дальнейшее развитие.</x:v>
      </x:c>
      <x:c r="M91" s="4" t="str">
        <x:v>docs/technical-spec.md #verification</x:v>
      </x:c>
      <x:c r="N91" s="14" t="n">
        <x:f>3-COUNTIFS($A$9:$A$99,"T05",$H$9:$H$99,"Done")-COUNTIFS($A$9:$A$99,"T03",$H$9:$H$99,"Done")-COUNTIFS($A$9:$A$99,"T04",$H$9:$H$99,"Done")</x:f>
        <x:v>3</x:v>
      </x:c>
      <x:c r="O91" s="4" t="str">
        <x:f>IF(H91="Done","Завершено",IF(N91&gt;0,"Есть блокеры",IF(H91="In Progress","В работе",IF(H91="Review","Нужна проверка",IF(J91="Next","После MVP",IF(F91="","Назначить","Можно брать"))))))</x:f>
        <x:v>Есть блокеры</x:v>
      </x:c>
    </x:row>
    <x:row r="92" ht="52" customHeight="1">
      <x:c r="A92" s="5" t="str">
        <x:v>N01</x:v>
      </x:c>
      <x:c r="B92" s="5" t="str">
        <x:v>Распознавать маркировку материала по фото</x:v>
      </x:c>
      <x:c r="C92" s="5" t="str">
        <x:v>04 Материалы и BOM</x:v>
      </x:c>
      <x:c r="D92" s="5" t="str">
        <x:v>AI</x:v>
      </x:c>
      <x:c r="E92" s="5" t="str">
        <x:v>AI/Backend</x:v>
      </x:c>
      <x:c r="F92" s="13" t="str"/>
      <x:c r="G92" s="5" t="str">
        <x:v>Low</x:v>
      </x:c>
      <x:c r="H92" s="5" t="str">
        <x:v>Backlog</x:v>
      </x:c>
      <x:c r="I92" s="5" t="str">
        <x:v>I01, A01</x:v>
      </x:c>
      <x:c r="J92" s="5" t="str">
        <x:v>Next</x:v>
      </x:c>
      <x:c r="K92" s="5" t="str">
        <x:v>M</x:v>
      </x:c>
      <x:c r="L92" s="5" t="str">
        <x:v>• Результат не считается подтверждённым остатком.
• Неизвестные свойства явно отмечены.
• Модель и количество не выдумываются.</x:v>
      </x:c>
      <x:c r="M92" s="5" t="str">
        <x:v>docs/technical-spec.md #data</x:v>
      </x:c>
      <x:c r="N92" s="15" t="n">
        <x:f>2-COUNTIFS($A$9:$A$99,"I01",$H$9:$H$99,"Done")-COUNTIFS($A$9:$A$99,"A01",$H$9:$H$99,"Done")</x:f>
        <x:v>2</x:v>
      </x:c>
      <x:c r="O92" s="5" t="str">
        <x:f>IF(H92="Done","Завершено",IF(N92&gt;0,"Есть блокеры",IF(H92="In Progress","В работе",IF(H92="Review","Нужна проверка",IF(J92="Next","После MVP",IF(F92="","Назначить","Можно брать"))))))</x:f>
        <x:v>Есть блокеры</x:v>
      </x:c>
    </x:row>
    <x:row r="93" ht="52" customHeight="1">
      <x:c r="A93" s="4" t="str">
        <x:v>N05</x:v>
      </x:c>
      <x:c r="B93" s="4" t="str">
        <x:v>Подключить native-захват помещений через RoomCaptureProvider</x:v>
      </x:c>
      <x:c r="C93" s="4" t="str">
        <x:v>06 Визуализация и AR</x:v>
      </x:c>
      <x:c r="D93" s="4" t="str">
        <x:v>3D/AR</x:v>
      </x:c>
      <x:c r="E93" s="4" t="str">
        <x:v>3D/AR</x:v>
      </x:c>
      <x:c r="F93" s="13" t="str"/>
      <x:c r="G93" s="4" t="str">
        <x:v>Low</x:v>
      </x:c>
      <x:c r="H93" s="4" t="str">
        <x:v>Backlog</x:v>
      </x:c>
      <x:c r="I93" s="4" t="str">
        <x:v>V01, P02</x:v>
      </x:c>
      <x:c r="J93" s="4" t="str">
        <x:v>Next</x:v>
      </x:c>
      <x:c r="K93" s="4" t="str">
        <x:v>M</x:v>
      </x:c>
      <x:c r="L93" s="4" t="str">
        <x:v>• Проверен конкретный совместимый прибор.
• Размеры доступны для исправления.
• Сохраняется ручной путь и реальный источник захвата.</x:v>
      </x:c>
      <x:c r="M93" s="4" t="str">
        <x:v>docs/technical-spec.md #visual</x:v>
      </x:c>
      <x:c r="N93" s="14" t="n">
        <x:f>2-COUNTIFS($A$9:$A$99,"V01",$H$9:$H$99,"Done")-COUNTIFS($A$9:$A$99,"P02",$H$9:$H$99,"Done")</x:f>
        <x:v>2</x:v>
      </x:c>
      <x:c r="O93" s="4" t="str">
        <x:f>IF(H93="Done","Завершено",IF(N93&gt;0,"Есть блокеры",IF(H93="In Progress","В работе",IF(H93="Review","Нужна проверка",IF(J93="Next","После MVP",IF(F93="","Назначить","Можно брать"))))))</x:f>
        <x:v>Есть блокеры</x:v>
      </x:c>
    </x:row>
    <x:row r="94" ht="52" customHeight="1">
      <x:c r="A94" s="5" t="str">
        <x:v>N07</x:v>
      </x:c>
      <x:c r="B94" s="5" t="str">
        <x:v>Подключить реальный API ОМА вместо симулятора</x:v>
      </x:c>
      <x:c r="C94" s="5" t="str">
        <x:v>03 Магазин Mock OMA</x:v>
      </x:c>
      <x:c r="D94" s="5" t="str">
        <x:v>Backend</x:v>
      </x:c>
      <x:c r="E94" s="5" t="str">
        <x:v>Backend Go</x:v>
      </x:c>
      <x:c r="F94" s="13" t="str"/>
      <x:c r="G94" s="5" t="str">
        <x:v>Low</x:v>
      </x:c>
      <x:c r="H94" s="5" t="str">
        <x:v>Backlog</x:v>
      </x:c>
      <x:c r="I94" s="5" t="str">
        <x:v>T03, M08, Q02</x:v>
      </x:c>
      <x:c r="J94" s="5" t="str">
        <x:v>Next</x:v>
      </x:c>
      <x:c r="K94" s="5" t="str">
        <x:v>M</x:v>
      </x:c>
      <x:c r="L94" s="5" t="str">
        <x:v>• Доменные модули не переписываются под чужую БД.
• Оплата не теряет серверную проверку.
• Контракт и разрешения подтверждены со стороны ОМА.</x:v>
      </x:c>
      <x:c r="M94" s="5" t="str">
        <x:v>docs/technical-spec.md #api</x:v>
      </x:c>
      <x:c r="N94" s="15" t="n">
        <x:f>3-COUNTIFS($A$9:$A$99,"T03",$H$9:$H$99,"Done")-COUNTIFS($A$9:$A$99,"M08",$H$9:$H$99,"Done")-COUNTIFS($A$9:$A$99,"Q02",$H$9:$H$99,"Done")</x:f>
        <x:v>3</x:v>
      </x:c>
      <x:c r="O94" s="5" t="str">
        <x:f>IF(H94="Done","Завершено",IF(N94&gt;0,"Есть блокеры",IF(H94="In Progress","В работе",IF(H94="Review","Нужна проверка",IF(J94="Next","После MVP",IF(F94="","Назначить","Можно брать"))))))</x:f>
        <x:v>Есть блокеры</x:v>
      </x:c>
    </x:row>
    <x:row r="95" ht="52" customHeight="1">
      <x:c r="A95" s="4" t="str">
        <x:v>N02</x:v>
      </x:c>
      <x:c r="B95" s="4" t="str">
        <x:v>Готовить отчёт прораба из голосовой заметки</x:v>
      </x:c>
      <x:c r="C95" s="4" t="str">
        <x:v>10 Выполнение и приёмка</x:v>
      </x:c>
      <x:c r="D95" s="4" t="str">
        <x:v>AI</x:v>
      </x:c>
      <x:c r="E95" s="4" t="str">
        <x:v>AI/Backend</x:v>
      </x:c>
      <x:c r="F95" s="13" t="str"/>
      <x:c r="G95" s="4" t="str">
        <x:v>Low</x:v>
      </x:c>
      <x:c r="H95" s="4" t="str">
        <x:v>Backlog</x:v>
      </x:c>
      <x:c r="I95" s="4" t="str">
        <x:v>E04, A01</x:v>
      </x:c>
      <x:c r="J95" s="4" t="str">
        <x:v>Next</x:v>
      </x:c>
      <x:c r="K95" s="4" t="str">
        <x:v>M</x:v>
      </x:c>
      <x:c r="L95" s="4" t="str">
        <x:v>• AI не сдаёт и не принимает этап самостоятельно.
• Прораб редактирует факты до публикации.
• Исходная версия и автор сохраняются.</x:v>
      </x:c>
      <x:c r="M95" s="4" t="str">
        <x:v>docs/technical-spec.md #execution</x:v>
      </x:c>
      <x:c r="N95" s="14" t="n">
        <x:f>2-COUNTIFS($A$9:$A$99,"E04",$H$9:$H$99,"Done")-COUNTIFS($A$9:$A$99,"A01",$H$9:$H$99,"Done")</x:f>
        <x:v>2</x:v>
      </x:c>
      <x:c r="O95" s="4" t="str">
        <x:f>IF(H95="Done","Завершено",IF(N95&gt;0,"Есть блокеры",IF(H95="In Progress","В работе",IF(H95="Review","Нужна проверка",IF(J95="Next","После MVP",IF(F95="","Назначить","Можно брать"))))))</x:f>
        <x:v>Есть блокеры</x:v>
      </x:c>
    </x:row>
    <x:row r="96" ht="52" customHeight="1">
      <x:c r="A96" s="5" t="str">
        <x:v>N03</x:v>
      </x:c>
      <x:c r="B96" s="5" t="str">
        <x:v>Предлагать следующий проект из пригодного остатка</x:v>
      </x:c>
      <x:c r="C96" s="5" t="str">
        <x:v>12 Общий кабинет и история</x:v>
      </x:c>
      <x:c r="D96" s="5" t="str">
        <x:v>AI</x:v>
      </x:c>
      <x:c r="E96" s="5" t="str">
        <x:v>AI/Backend</x:v>
      </x:c>
      <x:c r="F96" s="13" t="str"/>
      <x:c r="G96" s="5" t="str">
        <x:v>Low</x:v>
      </x:c>
      <x:c r="H96" s="5" t="str">
        <x:v>Backlog</x:v>
      </x:c>
      <x:c r="I96" s="5" t="str">
        <x:v>U05, A03</x:v>
      </x:c>
      <x:c r="J96" s="5" t="str">
        <x:v>Next</x:v>
      </x:c>
      <x:c r="K96" s="5" t="str">
        <x:v>M</x:v>
      </x:c>
      <x:c r="L96" s="5" t="str">
        <x:v>• Есть самостоятельная полезная задача.
• Пригодность и количество подтверждены.
• Предложение не расходует обязательный резерв без решения владельца.</x:v>
      </x:c>
      <x:c r="M96" s="5" t="str">
        <x:v>docs/OMA-product-spec.md #tracking</x:v>
      </x:c>
      <x:c r="N96" s="15" t="n">
        <x:f>2-COUNTIFS($A$9:$A$99,"U05",$H$9:$H$99,"Done")-COUNTIFS($A$9:$A$99,"A03",$H$9:$H$99,"Done")</x:f>
        <x:v>2</x:v>
      </x:c>
      <x:c r="O96" s="5" t="str">
        <x:f>IF(H96="Done","Завершено",IF(N96&gt;0,"Есть блокеры",IF(H96="In Progress","В работе",IF(H96="Review","Нужна проверка",IF(J96="Next","После MVP",IF(F96="","Назначить","Можно брать"))))))</x:f>
        <x:v>Есть блокеры</x:v>
      </x:c>
    </x:row>
    <x:row r="97" ht="52" customHeight="1">
      <x:c r="A97" s="4" t="str">
        <x:v>N06</x:v>
      </x:c>
      <x:c r="B97" s="4" t="str">
        <x:v>Добавить профессиональный режим нескольких объектов</x:v>
      </x:c>
      <x:c r="C97" s="4" t="str">
        <x:v>12 Общий кабинет и история</x:v>
      </x:c>
      <x:c r="D97" s="4" t="str">
        <x:v>Backend</x:v>
      </x:c>
      <x:c r="E97" s="4" t="str">
        <x:v>Backend Go</x:v>
      </x:c>
      <x:c r="F97" s="13" t="str"/>
      <x:c r="G97" s="4" t="str">
        <x:v>Low</x:v>
      </x:c>
      <x:c r="H97" s="4" t="str">
        <x:v>Backlog</x:v>
      </x:c>
      <x:c r="I97" s="4" t="str">
        <x:v>U05, I03</x:v>
      </x:c>
      <x:c r="J97" s="4" t="str">
        <x:v>Next</x:v>
      </x:c>
      <x:c r="K97" s="4" t="str">
        <x:v>M</x:v>
      </x:c>
      <x:c r="L97" s="4" t="str">
        <x:v>• Материал не переносится без согласия владельца.
• История и доступ разделены по объектам.
• Режим не меняет основной путь частного клиента.</x:v>
      </x:c>
      <x:c r="M97" s="4" t="str">
        <x:v>docs/OMA-product-spec.md #tracking</x:v>
      </x:c>
      <x:c r="N97" s="14" t="n">
        <x:f>2-COUNTIFS($A$9:$A$99,"U05",$H$9:$H$99,"Done")-COUNTIFS($A$9:$A$99,"I03",$H$9:$H$99,"Done")</x:f>
        <x:v>2</x:v>
      </x:c>
      <x:c r="O97" s="4" t="str">
        <x:f>IF(H97="Done","Завершено",IF(N97&gt;0,"Есть блокеры",IF(H97="In Progress","В работе",IF(H97="Review","Нужна проверка",IF(J97="Next","После MVP",IF(F97="","Назначить","Можно брать"))))))</x:f>
        <x:v>Есть блокеры</x:v>
      </x:c>
    </x:row>
    <x:row r="98" ht="52" customHeight="1">
      <x:c r="A98" s="5" t="str">
        <x:v>N04</x:v>
      </x:c>
      <x:c r="B98" s="5" t="str">
        <x:v>Подготовить передачу остатков другим пользователям</x:v>
      </x:c>
      <x:c r="C98" s="5" t="str">
        <x:v>04 Материалы и BOM</x:v>
      </x:c>
      <x:c r="D98" s="5" t="str">
        <x:v>Backend</x:v>
      </x:c>
      <x:c r="E98" s="5" t="str">
        <x:v>Backend Go</x:v>
      </x:c>
      <x:c r="F98" s="13" t="str"/>
      <x:c r="G98" s="5" t="str">
        <x:v>Low</x:v>
      </x:c>
      <x:c r="H98" s="5" t="str">
        <x:v>Backlog</x:v>
      </x:c>
      <x:c r="I98" s="5" t="str">
        <x:v>N03, I03</x:v>
      </x:c>
      <x:c r="J98" s="5" t="str">
        <x:v>Next</x:v>
      </x:c>
      <x:c r="K98" s="5" t="str">
        <x:v>M</x:v>
      </x:c>
      <x:c r="L98" s="5" t="str">
        <x:v>• Не обещается безусловный выкуп или бесплатный вывоз.
• Публикация согласуется с владельцем.
• Готовы условия пилота и проверяемая модель передачи.</x:v>
      </x:c>
      <x:c r="M98" s="5" t="str">
        <x:v>docs/technical-spec.md #data</x:v>
      </x:c>
      <x:c r="N98" s="15" t="n">
        <x:f>2-COUNTIFS($A$9:$A$99,"N03",$H$9:$H$99,"Done")-COUNTIFS($A$9:$A$99,"I03",$H$9:$H$99,"Done")</x:f>
        <x:v>2</x:v>
      </x:c>
      <x:c r="O98" s="5" t="str">
        <x:f>IF(H98="Done","Завершено",IF(N98&gt;0,"Есть блокеры",IF(H98="In Progress","В работе",IF(H98="Review","Нужна проверка",IF(J98="Next","После MVP",IF(F98="","Назначить","Можно брать"))))))</x:f>
        <x:v>Есть блокеры</x:v>
      </x:c>
    </x:row>
    <x:row r="99" ht="52" customHeight="1">
      <x:c r="A99" s="4" t="str">
        <x:v>N08</x:v>
      </x:c>
      <x:c r="B99" s="4" t="str">
        <x:v>Подготовить пилот и измерение эффекта на продажи</x:v>
      </x:c>
      <x:c r="C99" s="4" t="str">
        <x:v>13 Проверка и демонстрация</x:v>
      </x:c>
      <x:c r="D99" s="4" t="str">
        <x:v>Design</x:v>
      </x:c>
      <x:c r="E99" s="4" t="str">
        <x:v>Product/UX</x:v>
      </x:c>
      <x:c r="F99" s="13" t="str"/>
      <x:c r="G99" s="4" t="str">
        <x:v>Low</x:v>
      </x:c>
      <x:c r="H99" s="4" t="str">
        <x:v>Backlog</x:v>
      </x:c>
      <x:c r="I99" s="4" t="str">
        <x:v>B01, T02</x:v>
      </x:c>
      <x:c r="J99" s="4" t="str">
        <x:v>Next</x:v>
      </x:c>
      <x:c r="K99" s="4" t="str">
        <x:v>M</x:v>
      </x:c>
      <x:c r="L99" s="4" t="str">
        <x:v>• Не выдаётся вся выручка корзины за дополнительную прибыль.
• Понятны показатели и способ проверки гипотезы.
• Рост продаж не заявляется доказанным заранее.</x:v>
      </x:c>
      <x:c r="M99" s="4" t="str">
        <x:v>docs/technical-spec.md #verification</x:v>
      </x:c>
      <x:c r="N99" s="14" t="n">
        <x:f>2-COUNTIFS($A$9:$A$99,"B01",$H$9:$H$99,"Done")-COUNTIFS($A$9:$A$99,"T02",$H$9:$H$99,"Done")</x:f>
        <x:v>2</x:v>
      </x:c>
      <x:c r="O99" s="4" t="str">
        <x:f>IF(H99="Done","Завершено",IF(N99&gt;0,"Есть блокеры",IF(H99="In Progress","В работе",IF(H99="Review","Нужна проверка",IF(J99="Next","После MVP",IF(F99="","Назначить","Можно брать"))))))</x:f>
        <x:v>Есть блокеры</x:v>
      </x:c>
    </x:row>
  </x:sheetData>
  <x:conditionalFormatting sqref="H9:H99">
    <x:cfRule type="containsText" dxfId="0" priority="1" operator="containsText" text="Backlog"/>
    <x:cfRule type="containsText" dxfId="1" priority="2" operator="containsText" text="Ready"/>
    <x:cfRule type="containsText" dxfId="2" priority="3" operator="containsText" text="In Progress"/>
    <x:cfRule type="containsText" dxfId="3" priority="4" operator="containsText" text="Review"/>
    <x:cfRule type="containsText" dxfId="4" priority="5" operator="containsText" text="Done"/>
  </x:conditionalFormatting>
  <x:conditionalFormatting sqref="N9:N99">
    <x:cfRule type="cellIs" dxfId="5" priority="6" operator="greaterThan">
      <x:formula>0</x:formula>
    </x:cfRule>
  </x:conditionalFormatting>
  <x:conditionalFormatting sqref="G9:G99">
    <x:cfRule type="containsText" dxfId="6" priority="7" operator="containsText" text="High"/>
  </x:conditionalFormatting>
  <x:dataValidations count="3">
    <x:dataValidation type="list" sqref="H9:H99">
      <x:formula1>"Backlog,Ready,In Progress,Review,Done"</x:formula1>
    </x:dataValidation>
    <x:dataValidation type="list" sqref="G9:G99">
      <x:formula1>"High,Medium,Low"</x:formula1>
    </x:dataValidation>
    <x:dataValidation type="list" sqref="J9:J99">
      <x:formula1>"MVP,Next"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b9b6c2e39c4648"/>
  </x:tableParts>
</x:worksheet>
</file>